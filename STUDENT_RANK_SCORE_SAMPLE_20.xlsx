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ight Reference" sheetId="1" state="visible" r:id="rId1"/>
    <sheet name="RANKING 1-20" sheetId="2" state="visible" r:id="rId2"/>
    <sheet name="Matrix vs Weighted" sheetId="3" state="visible" r:id="rId3"/>
    <sheet name="#1 ID 100001" sheetId="4" state="visible" r:id="rId4"/>
    <sheet name="#2 ID 100004" sheetId="5" state="visible" r:id="rId5"/>
    <sheet name="#3 ID 100018" sheetId="6" state="visible" r:id="rId6"/>
    <sheet name="#4 ID 100002" sheetId="7" state="visible" r:id="rId7"/>
    <sheet name="#5 ID 100015" sheetId="8" state="visible" r:id="rId8"/>
    <sheet name="#6 ID 100008" sheetId="9" state="visible" r:id="rId9"/>
    <sheet name="#7 ID 100006" sheetId="10" state="visible" r:id="rId10"/>
    <sheet name="#8 ID 100005" sheetId="11" state="visible" r:id="rId11"/>
    <sheet name="#9 ID 100011" sheetId="12" state="visible" r:id="rId12"/>
    <sheet name="#10 ID 100009" sheetId="13" state="visible" r:id="rId13"/>
    <sheet name="#11 ID 100003" sheetId="14" state="visible" r:id="rId14"/>
    <sheet name="#12 ID 100007" sheetId="15" state="visible" r:id="rId15"/>
    <sheet name="#13 ID 100017" sheetId="16" state="visible" r:id="rId16"/>
    <sheet name="#14 ID 100013" sheetId="17" state="visible" r:id="rId17"/>
    <sheet name="#15 ID 100019" sheetId="18" state="visible" r:id="rId18"/>
    <sheet name="#16 ID 100010" sheetId="19" state="visible" r:id="rId19"/>
    <sheet name="#17 ID 100012" sheetId="20" state="visible" r:id="rId20"/>
    <sheet name="#18 ID 100014" sheetId="21" state="visible" r:id="rId21"/>
    <sheet name="#19 ID 100016" sheetId="22" state="visible" r:id="rId22"/>
    <sheet name="#20 ID 100020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9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sz val="11"/>
    </font>
    <font>
      <name val="Arial"/>
      <sz val="9"/>
    </font>
    <font>
      <name val="Arial"/>
      <b val="1"/>
      <i val="1"/>
      <sz val="11"/>
    </font>
    <font>
      <name val="Arial"/>
      <i val="1"/>
      <color rgb="00666666"/>
      <sz val="8"/>
    </font>
    <font>
      <name val="Arial"/>
      <b val="1"/>
      <i val="1"/>
      <sz val="8"/>
    </font>
    <font>
      <name val="Arial"/>
      <b val="1"/>
      <sz val="8"/>
    </font>
    <font>
      <name val="Arial"/>
      <b val="1"/>
      <color rgb="00FFFFFF"/>
      <sz val="11"/>
    </font>
    <font>
      <name val="Arial"/>
      <i val="1"/>
      <sz val="10"/>
    </font>
    <font>
      <name val="Arial"/>
      <b val="1"/>
      <color rgb="00FFFFFF"/>
      <sz val="24"/>
    </font>
    <font>
      <name val="Arial"/>
      <b val="1"/>
      <color rgb="00006100"/>
      <sz val="10"/>
    </font>
    <font>
      <name val="Arial"/>
      <b val="1"/>
      <color rgb="00FFFFFF"/>
      <sz val="12"/>
    </font>
    <font>
      <name val="Arial"/>
      <b val="1"/>
      <sz val="9"/>
    </font>
    <font>
      <name val="Arial"/>
      <b val="1"/>
      <color rgb="00999999"/>
      <sz val="10"/>
    </font>
    <font>
      <name val="Arial"/>
      <color rgb="00000000"/>
      <sz val="10"/>
    </font>
    <font>
      <name val="Arial"/>
      <color rgb="00006100"/>
      <sz val="10"/>
    </font>
    <font>
      <name val="Arial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4B084"/>
        <bgColor rgb="00F4B084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DDDD"/>
        <bgColor rgb="00DDDDDD"/>
      </patternFill>
    </fill>
    <fill>
      <patternFill patternType="solid">
        <fgColor rgb="00F8F8F8"/>
        <bgColor rgb="00F8F8F8"/>
      </patternFill>
    </fill>
    <fill>
      <patternFill patternType="solid">
        <fgColor rgb="00BDD7EE"/>
        <bgColor rgb="00BDD7EE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medium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6" fillId="4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center" vertical="center" wrapText="1"/>
    </xf>
    <xf numFmtId="0" fontId="5" fillId="6" borderId="9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1" fillId="7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0" fillId="11" borderId="1" pivotButton="0" quotePrefix="0" xfId="0"/>
    <xf numFmtId="0" fontId="0" fillId="9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8" customWidth="1" min="3" max="3"/>
    <col width="10" customWidth="1" min="4" max="4"/>
    <col width="12" customWidth="1" min="5" max="5"/>
    <col width="16" customWidth="1" min="6" max="6"/>
    <col width="50" customWidth="1" min="7" max="7"/>
  </cols>
  <sheetData>
    <row r="1">
      <c r="A1" s="1" t="inlineStr">
        <is>
          <t>PRIORITY INPUT WEIGHTS</t>
        </is>
      </c>
    </row>
    <row r="3">
      <c r="A3" s="2" t="inlineStr">
        <is>
          <t>#</t>
        </is>
      </c>
      <c r="B3" s="2" t="inlineStr">
        <is>
          <t>Input</t>
        </is>
      </c>
      <c r="C3" s="2" t="inlineStr">
        <is>
          <t>Code</t>
        </is>
      </c>
      <c r="D3" s="2" t="inlineStr">
        <is>
          <t>Weight</t>
        </is>
      </c>
      <c r="E3" s="2" t="inlineStr">
        <is>
          <t>Max Raw</t>
        </is>
      </c>
      <c r="F3" s="2" t="inlineStr">
        <is>
          <t>Max Weighted</t>
        </is>
      </c>
      <c r="G3" s="2" t="inlineStr">
        <is>
          <t>Rationale</t>
        </is>
      </c>
    </row>
    <row r="4">
      <c r="A4" s="3" t="n">
        <v>1</v>
      </c>
      <c r="B4" s="4" t="inlineStr">
        <is>
          <t>Course File Priority</t>
        </is>
      </c>
      <c r="C4" s="5" t="inlineStr">
        <is>
          <t>CFP</t>
        </is>
      </c>
      <c r="D4" s="6" t="inlineStr">
        <is>
          <t>×1.0</t>
        </is>
      </c>
      <c r="E4" s="7" t="n">
        <v>5</v>
      </c>
      <c r="F4" s="8" t="n">
        <v>5</v>
      </c>
      <c r="G4" s="9" t="inlineStr">
        <is>
          <t>Stable baseline from master course profile</t>
        </is>
      </c>
    </row>
    <row r="5">
      <c r="A5" s="3" t="n">
        <v>2</v>
      </c>
      <c r="B5" s="4" t="inlineStr">
        <is>
          <t>Current Year Course Request Priority</t>
        </is>
      </c>
      <c r="C5" s="5" t="inlineStr">
        <is>
          <t>CYRP</t>
        </is>
      </c>
      <c r="D5" s="6" t="inlineStr">
        <is>
          <t>×1.5</t>
        </is>
      </c>
      <c r="E5" s="7" t="n">
        <v>5</v>
      </c>
      <c r="F5" s="8" t="n">
        <v>7.5</v>
      </c>
      <c r="G5" s="9" t="inlineStr">
        <is>
          <t>Reflects current-year demand and scarcity</t>
        </is>
      </c>
    </row>
    <row r="6">
      <c r="A6" s="3" t="n">
        <v>3</v>
      </c>
      <c r="B6" s="4" t="inlineStr">
        <is>
          <t>Student Scheduling Priority</t>
        </is>
      </c>
      <c r="C6" s="5" t="inlineStr">
        <is>
          <t>SSP</t>
        </is>
      </c>
      <c r="D6" s="6" t="inlineStr">
        <is>
          <t>×2.0</t>
        </is>
      </c>
      <c r="E6" s="7" t="n">
        <v>5</v>
      </c>
      <c r="F6" s="8" t="n">
        <v>10</v>
      </c>
      <c r="G6" s="9" t="inlineStr">
        <is>
          <t>LEO, Robotics, special populations must be protected</t>
        </is>
      </c>
    </row>
    <row r="7">
      <c r="A7" s="3" t="n">
        <v>4</v>
      </c>
      <c r="B7" s="4" t="inlineStr">
        <is>
          <t>Master Teacher Profile Priority</t>
        </is>
      </c>
      <c r="C7" s="5" t="inlineStr">
        <is>
          <t>MTP</t>
        </is>
      </c>
      <c r="D7" s="6" t="inlineStr">
        <is>
          <t>×1.0</t>
        </is>
      </c>
      <c r="E7" s="7" t="n">
        <v>5</v>
      </c>
      <c r="F7" s="8" t="n">
        <v>5</v>
      </c>
      <c r="G7" s="9" t="inlineStr">
        <is>
          <t>Stable baseline from teacher profile</t>
        </is>
      </c>
    </row>
    <row r="8">
      <c r="A8" s="3" t="n">
        <v>5</v>
      </c>
      <c r="B8" s="4" t="inlineStr">
        <is>
          <t>Current Year Teacher Assignment Priority</t>
        </is>
      </c>
      <c r="C8" s="5" t="inlineStr">
        <is>
          <t>CTAP</t>
        </is>
      </c>
      <c r="D8" s="6" t="inlineStr">
        <is>
          <t>×1.5</t>
        </is>
      </c>
      <c r="E8" s="7" t="n">
        <v>5</v>
      </c>
      <c r="F8" s="8" t="n">
        <v>7.5</v>
      </c>
      <c r="G8" s="9" t="inlineStr">
        <is>
          <t>Reflects current-year staffing constraints</t>
        </is>
      </c>
    </row>
    <row r="9">
      <c r="A9" s="3" t="n">
        <v>6</v>
      </c>
      <c r="B9" s="4" t="inlineStr">
        <is>
          <t>Term Lock</t>
        </is>
      </c>
      <c r="C9" s="5" t="inlineStr">
        <is>
          <t>TL</t>
        </is>
      </c>
      <c r="D9" s="6" t="inlineStr">
        <is>
          <t>×2.0</t>
        </is>
      </c>
      <c r="E9" s="7" t="n">
        <v>5</v>
      </c>
      <c r="F9" s="8" t="n">
        <v>10</v>
      </c>
      <c r="G9" s="9" t="inlineStr">
        <is>
          <t>Binary hard constraint — no alternative semester</t>
        </is>
      </c>
    </row>
    <row r="10">
      <c r="A10" s="3" t="n">
        <v>7</v>
      </c>
      <c r="B10" s="4" t="inlineStr">
        <is>
          <t>Period Lock</t>
        </is>
      </c>
      <c r="C10" s="5" t="inlineStr">
        <is>
          <t>PL</t>
        </is>
      </c>
      <c r="D10" s="6" t="inlineStr">
        <is>
          <t>×2.0</t>
        </is>
      </c>
      <c r="E10" s="7" t="n">
        <v>5</v>
      </c>
      <c r="F10" s="8" t="n">
        <v>10</v>
      </c>
      <c r="G10" s="9" t="inlineStr">
        <is>
          <t>Binary hard constraint — no alternative period</t>
        </is>
      </c>
    </row>
    <row r="11">
      <c r="A11" s="3" t="n">
        <v>8</v>
      </c>
      <c r="B11" s="4" t="inlineStr">
        <is>
          <t>Room Lock</t>
        </is>
      </c>
      <c r="C11" s="5" t="inlineStr">
        <is>
          <t>RL</t>
        </is>
      </c>
      <c r="D11" s="6" t="inlineStr">
        <is>
          <t>×1.5</t>
        </is>
      </c>
      <c r="E11" s="7" t="n">
        <v>5</v>
      </c>
      <c r="F11" s="8" t="n">
        <v>7.5</v>
      </c>
      <c r="G11" s="9" t="inlineStr">
        <is>
          <t>Hard but rooms can sometimes flex</t>
        </is>
      </c>
    </row>
    <row r="12">
      <c r="A12" s="10" t="inlineStr"/>
      <c r="B12" s="11" t="inlineStr">
        <is>
          <t>MAXIMUM TOTALS</t>
        </is>
      </c>
      <c r="C12" s="10" t="inlineStr"/>
      <c r="D12" s="10" t="inlineStr"/>
      <c r="E12" s="12" t="n">
        <v>40</v>
      </c>
      <c r="F12" s="12" t="n">
        <v>62.5</v>
      </c>
      <c r="G12" s="10" t="inlineStr"/>
    </row>
    <row r="14">
      <c r="A14" s="1" t="inlineStr">
        <is>
          <t>SORTING LOGIC</t>
        </is>
      </c>
      <c r="B14" s="13" t="n"/>
      <c r="C14" s="13" t="n"/>
      <c r="D14" s="13" t="n"/>
      <c r="E14" s="13" t="n"/>
      <c r="F14" s="14" t="n"/>
    </row>
    <row r="15">
      <c r="A15" s="15" t="inlineStr">
        <is>
          <t>Primary Sort:</t>
        </is>
      </c>
      <c r="B15" s="16" t="inlineStr">
        <is>
          <t>Constraint Count DESC — how many of the 8 inputs are ≥ 4</t>
        </is>
      </c>
      <c r="C15" s="13" t="n"/>
      <c r="D15" s="13" t="n"/>
      <c r="E15" s="13" t="n"/>
      <c r="F15" s="14" t="n"/>
    </row>
    <row r="16">
      <c r="A16" s="15" t="inlineStr">
        <is>
          <t>Secondary Sort:</t>
        </is>
      </c>
      <c r="B16" s="16" t="inlineStr">
        <is>
          <t>Weighted Sum DESC — total weighted score across all 8 inputs</t>
        </is>
      </c>
      <c r="C16" s="13" t="n"/>
      <c r="D16" s="13" t="n"/>
      <c r="E16" s="13" t="n"/>
      <c r="F16" s="14" t="n"/>
    </row>
    <row r="18">
      <c r="A18" s="15" t="inlineStr">
        <is>
          <t>Constraint Count</t>
        </is>
      </c>
      <c r="B18" s="16">
        <f> number of raw inputs scoring 4 or 5. These are hard constraints with little or no flexibility.</f>
        <v/>
      </c>
      <c r="C18" s="13" t="n"/>
      <c r="D18" s="13" t="n"/>
      <c r="E18" s="13" t="n"/>
      <c r="F18" s="14" t="n"/>
    </row>
    <row r="19">
      <c r="A19" s="15" t="inlineStr">
        <is>
          <t>Weighted Sum</t>
        </is>
      </c>
      <c r="B19" s="16">
        <f> Σ (raw input × weight). Captures both the value and the importance of each constraint.</f>
        <v/>
      </c>
      <c r="C19" s="13" t="n"/>
      <c r="D19" s="13" t="n"/>
      <c r="E19" s="13" t="n"/>
      <c r="F19" s="14" t="n"/>
    </row>
  </sheetData>
  <mergeCells count="6">
    <mergeCell ref="B16:F16"/>
    <mergeCell ref="A14:F14"/>
    <mergeCell ref="B15:F15"/>
    <mergeCell ref="A1:F1"/>
    <mergeCell ref="B19:F19"/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1" customWidth="1" min="12" max="12"/>
    <col width="16" customWidth="1" min="13" max="13"/>
    <col width="14" customWidth="1" min="14" max="14"/>
  </cols>
  <sheetData>
    <row r="1">
      <c r="A1" s="1" t="inlineStr">
        <is>
          <t>STUDENT PRIORITY RANKING — 20 SAMPLE STUDENTS</t>
        </is>
      </c>
    </row>
    <row r="2">
      <c r="A2" s="17" t="inlineStr">
        <is>
          <t>Sorted by: Constraint Count (primary) → Weighted Sum (secondary)</t>
        </is>
      </c>
    </row>
    <row r="4">
      <c r="A4" s="2" t="inlineStr">
        <is>
          <t>RANK</t>
        </is>
      </c>
      <c r="B4" s="2" t="inlineStr">
        <is>
          <t>Student ID</t>
        </is>
      </c>
      <c r="C4" s="2" t="inlineStr">
        <is>
          <t>Profile</t>
        </is>
      </c>
      <c r="D4" s="2" t="inlineStr">
        <is>
          <t>CFP</t>
        </is>
      </c>
      <c r="E4" s="2" t="inlineStr">
        <is>
          <t>CYRP</t>
        </is>
      </c>
      <c r="F4" s="2" t="inlineStr">
        <is>
          <t>SSP</t>
        </is>
      </c>
      <c r="G4" s="2" t="inlineStr">
        <is>
          <t>MTP</t>
        </is>
      </c>
      <c r="H4" s="2" t="inlineStr">
        <is>
          <t>CTAP</t>
        </is>
      </c>
      <c r="I4" s="2" t="inlineStr">
        <is>
          <t>TL</t>
        </is>
      </c>
      <c r="J4" s="2" t="inlineStr">
        <is>
          <t>PL</t>
        </is>
      </c>
      <c r="K4" s="2" t="inlineStr">
        <is>
          <t>RL</t>
        </is>
      </c>
      <c r="L4" s="2" t="inlineStr">
        <is>
          <t>Raw Sum</t>
        </is>
      </c>
      <c r="M4" s="2" t="inlineStr">
        <is>
          <t>Constraint Count</t>
        </is>
      </c>
      <c r="N4" s="2" t="inlineStr">
        <is>
          <t>Weighted Sum</t>
        </is>
      </c>
    </row>
    <row r="5">
      <c r="A5" s="18" t="inlineStr"/>
      <c r="B5" s="18" t="inlineStr"/>
      <c r="C5" s="19" t="inlineStr">
        <is>
          <t>WEIGHTS →</t>
        </is>
      </c>
      <c r="D5" s="20" t="inlineStr">
        <is>
          <t>×1.0</t>
        </is>
      </c>
      <c r="E5" s="20" t="inlineStr">
        <is>
          <t>×1.5</t>
        </is>
      </c>
      <c r="F5" s="20" t="inlineStr">
        <is>
          <t>×2.0</t>
        </is>
      </c>
      <c r="G5" s="20" t="inlineStr">
        <is>
          <t>×1.0</t>
        </is>
      </c>
      <c r="H5" s="20" t="inlineStr">
        <is>
          <t>×1.5</t>
        </is>
      </c>
      <c r="I5" s="20" t="inlineStr">
        <is>
          <t>×2.0</t>
        </is>
      </c>
      <c r="J5" s="20" t="inlineStr">
        <is>
          <t>×2.0</t>
        </is>
      </c>
      <c r="K5" s="20" t="inlineStr">
        <is>
          <t>×1.5</t>
        </is>
      </c>
      <c r="L5" s="18" t="inlineStr"/>
      <c r="M5" s="20" t="inlineStr">
        <is>
          <t>(≥4)</t>
        </is>
      </c>
      <c r="N5" s="18" t="inlineStr"/>
    </row>
    <row r="6">
      <c r="A6" s="21" t="n">
        <v>1</v>
      </c>
      <c r="B6" s="22" t="n">
        <v>100001</v>
      </c>
      <c r="C6" s="16" t="inlineStr">
        <is>
          <t>LEO + AP Singleton + Locked</t>
        </is>
      </c>
      <c r="D6" s="23" t="n">
        <v>5</v>
      </c>
      <c r="E6" s="23" t="n">
        <v>5</v>
      </c>
      <c r="F6" s="23" t="n">
        <v>5</v>
      </c>
      <c r="G6" s="23" t="n">
        <v>5</v>
      </c>
      <c r="H6" s="23" t="n">
        <v>5</v>
      </c>
      <c r="I6" s="23" t="n">
        <v>5</v>
      </c>
      <c r="J6" s="23" t="n">
        <v>5</v>
      </c>
      <c r="K6" s="23" t="n">
        <v>5</v>
      </c>
      <c r="L6" s="24" t="n">
        <v>40</v>
      </c>
      <c r="M6" s="25" t="n">
        <v>8</v>
      </c>
      <c r="N6" s="8" t="n">
        <v>62.5</v>
      </c>
    </row>
    <row r="7">
      <c r="A7" s="21" t="n">
        <v>2</v>
      </c>
      <c r="B7" s="22" t="n">
        <v>100004</v>
      </c>
      <c r="C7" s="16" t="inlineStr">
        <is>
          <t>AP Student, Not LEO, Locked Period</t>
        </is>
      </c>
      <c r="D7" s="23" t="n">
        <v>5</v>
      </c>
      <c r="E7" s="23" t="n">
        <v>5</v>
      </c>
      <c r="F7" s="22" t="n">
        <v>1</v>
      </c>
      <c r="G7" s="23" t="n">
        <v>5</v>
      </c>
      <c r="H7" s="23" t="n">
        <v>5</v>
      </c>
      <c r="I7" s="23" t="n">
        <v>5</v>
      </c>
      <c r="J7" s="23" t="n">
        <v>5</v>
      </c>
      <c r="K7" s="26" t="n">
        <v>0</v>
      </c>
      <c r="L7" s="24" t="n">
        <v>31</v>
      </c>
      <c r="M7" s="25" t="n">
        <v>6</v>
      </c>
      <c r="N7" s="8" t="n">
        <v>47</v>
      </c>
    </row>
    <row r="8">
      <c r="A8" s="21" t="n">
        <v>3</v>
      </c>
      <c r="B8" s="22" t="n">
        <v>100018</v>
      </c>
      <c r="C8" s="16" t="inlineStr">
        <is>
          <t>AP + Locked Term + Locked Period</t>
        </is>
      </c>
      <c r="D8" s="23" t="n">
        <v>5</v>
      </c>
      <c r="E8" s="23" t="n">
        <v>5</v>
      </c>
      <c r="F8" s="22" t="n">
        <v>1</v>
      </c>
      <c r="G8" s="23" t="n">
        <v>5</v>
      </c>
      <c r="H8" s="23" t="n">
        <v>5</v>
      </c>
      <c r="I8" s="23" t="n">
        <v>5</v>
      </c>
      <c r="J8" s="23" t="n">
        <v>5</v>
      </c>
      <c r="K8" s="26" t="n">
        <v>0</v>
      </c>
      <c r="L8" s="24" t="n">
        <v>31</v>
      </c>
      <c r="M8" s="25" t="n">
        <v>6</v>
      </c>
      <c r="N8" s="8" t="n">
        <v>47</v>
      </c>
    </row>
    <row r="9">
      <c r="A9" s="21" t="n">
        <v>4</v>
      </c>
      <c r="B9" s="22" t="n">
        <v>100002</v>
      </c>
      <c r="C9" s="16" t="inlineStr">
        <is>
          <t>LEO + AP Singleton + Flexible</t>
        </is>
      </c>
      <c r="D9" s="23" t="n">
        <v>5</v>
      </c>
      <c r="E9" s="23" t="n">
        <v>5</v>
      </c>
      <c r="F9" s="23" t="n">
        <v>5</v>
      </c>
      <c r="G9" s="27" t="n">
        <v>4</v>
      </c>
      <c r="H9" s="23" t="n">
        <v>5</v>
      </c>
      <c r="I9" s="23" t="n">
        <v>5</v>
      </c>
      <c r="J9" s="26" t="n">
        <v>0</v>
      </c>
      <c r="K9" s="26" t="n">
        <v>0</v>
      </c>
      <c r="L9" s="24" t="n">
        <v>29</v>
      </c>
      <c r="M9" s="25" t="n">
        <v>6</v>
      </c>
      <c r="N9" s="8" t="n">
        <v>44</v>
      </c>
    </row>
    <row r="10">
      <c r="A10" s="21" t="n">
        <v>5</v>
      </c>
      <c r="B10" s="22" t="n">
        <v>100015</v>
      </c>
      <c r="C10" s="16" t="inlineStr">
        <is>
          <t>Freshman, Required Core, Locked</t>
        </is>
      </c>
      <c r="D10" s="27" t="n">
        <v>4</v>
      </c>
      <c r="E10" s="27" t="n">
        <v>4</v>
      </c>
      <c r="F10" s="22" t="n">
        <v>1</v>
      </c>
      <c r="G10" s="22" t="n">
        <v>3</v>
      </c>
      <c r="H10" s="22" t="n">
        <v>3</v>
      </c>
      <c r="I10" s="23" t="n">
        <v>5</v>
      </c>
      <c r="J10" s="23" t="n">
        <v>5</v>
      </c>
      <c r="K10" s="23" t="n">
        <v>5</v>
      </c>
      <c r="L10" s="24" t="n">
        <v>30</v>
      </c>
      <c r="M10" s="28" t="n">
        <v>5</v>
      </c>
      <c r="N10" s="8" t="n">
        <v>47</v>
      </c>
    </row>
    <row r="11">
      <c r="A11" s="21" t="n">
        <v>6</v>
      </c>
      <c r="B11" s="22" t="n">
        <v>100008</v>
      </c>
      <c r="C11" s="16" t="inlineStr">
        <is>
          <t>String Orchestra + Honors</t>
        </is>
      </c>
      <c r="D11" s="22" t="n">
        <v>3</v>
      </c>
      <c r="E11" s="27" t="n">
        <v>4</v>
      </c>
      <c r="F11" s="27" t="n">
        <v>4</v>
      </c>
      <c r="G11" s="27" t="n">
        <v>4</v>
      </c>
      <c r="H11" s="27" t="n">
        <v>4</v>
      </c>
      <c r="I11" s="26" t="n">
        <v>0</v>
      </c>
      <c r="J11" s="23" t="n">
        <v>5</v>
      </c>
      <c r="K11" s="26" t="n">
        <v>0</v>
      </c>
      <c r="L11" s="24" t="n">
        <v>24</v>
      </c>
      <c r="M11" s="28" t="n">
        <v>5</v>
      </c>
      <c r="N11" s="8" t="n">
        <v>37</v>
      </c>
    </row>
    <row r="12">
      <c r="A12" s="21" t="n">
        <v>7</v>
      </c>
      <c r="B12" s="22" t="n">
        <v>100006</v>
      </c>
      <c r="C12" s="16" t="inlineStr">
        <is>
          <t>Robotics + Honors, Locked Period</t>
        </is>
      </c>
      <c r="D12" s="22" t="n">
        <v>3</v>
      </c>
      <c r="E12" s="27" t="n">
        <v>4</v>
      </c>
      <c r="F12" s="27" t="n">
        <v>4</v>
      </c>
      <c r="G12" s="22" t="n">
        <v>3</v>
      </c>
      <c r="H12" s="22" t="n">
        <v>3</v>
      </c>
      <c r="I12" s="26" t="n">
        <v>0</v>
      </c>
      <c r="J12" s="23" t="n">
        <v>5</v>
      </c>
      <c r="K12" s="23" t="n">
        <v>5</v>
      </c>
      <c r="L12" s="24" t="n">
        <v>27</v>
      </c>
      <c r="M12" s="28" t="n">
        <v>4</v>
      </c>
      <c r="N12" s="8" t="n">
        <v>42</v>
      </c>
    </row>
    <row r="13">
      <c r="A13" s="21" t="n">
        <v>8</v>
      </c>
      <c r="B13" s="22" t="n">
        <v>100005</v>
      </c>
      <c r="C13" s="16" t="inlineStr">
        <is>
          <t>AP Student, Not LEO, Flexible</t>
        </is>
      </c>
      <c r="D13" s="23" t="n">
        <v>5</v>
      </c>
      <c r="E13" s="23" t="n">
        <v>5</v>
      </c>
      <c r="F13" s="22" t="n">
        <v>1</v>
      </c>
      <c r="G13" s="27" t="n">
        <v>4</v>
      </c>
      <c r="H13" s="27" t="n">
        <v>4</v>
      </c>
      <c r="I13" s="26" t="n">
        <v>0</v>
      </c>
      <c r="J13" s="26" t="n">
        <v>0</v>
      </c>
      <c r="K13" s="26" t="n">
        <v>0</v>
      </c>
      <c r="L13" s="24" t="n">
        <v>19</v>
      </c>
      <c r="M13" s="28" t="n">
        <v>4</v>
      </c>
      <c r="N13" s="8" t="n">
        <v>24.5</v>
      </c>
    </row>
    <row r="14">
      <c r="A14" s="21" t="n">
        <v>9</v>
      </c>
      <c r="B14" s="22" t="n">
        <v>100011</v>
      </c>
      <c r="C14" s="16" t="inlineStr">
        <is>
          <t>Junior, Honors Sequence, Locked</t>
        </is>
      </c>
      <c r="D14" s="22" t="n">
        <v>3</v>
      </c>
      <c r="E14" s="22" t="n">
        <v>3</v>
      </c>
      <c r="F14" s="22" t="n">
        <v>2</v>
      </c>
      <c r="G14" s="22" t="n">
        <v>3</v>
      </c>
      <c r="H14" s="27" t="n">
        <v>4</v>
      </c>
      <c r="I14" s="23" t="n">
        <v>5</v>
      </c>
      <c r="J14" s="23" t="n">
        <v>5</v>
      </c>
      <c r="K14" s="26" t="n">
        <v>0</v>
      </c>
      <c r="L14" s="24" t="n">
        <v>25</v>
      </c>
      <c r="M14" s="12" t="n">
        <v>3</v>
      </c>
      <c r="N14" s="8" t="n">
        <v>40.5</v>
      </c>
    </row>
    <row r="15">
      <c r="A15" s="21" t="n">
        <v>10</v>
      </c>
      <c r="B15" s="22" t="n">
        <v>100009</v>
      </c>
      <c r="C15" s="16" t="inlineStr">
        <is>
          <t>Senior, Required Core, Locked Term</t>
        </is>
      </c>
      <c r="D15" s="27" t="n">
        <v>4</v>
      </c>
      <c r="E15" s="27" t="n">
        <v>4</v>
      </c>
      <c r="F15" s="22" t="n">
        <v>2</v>
      </c>
      <c r="G15" s="22" t="n">
        <v>3</v>
      </c>
      <c r="H15" s="22" t="n">
        <v>3</v>
      </c>
      <c r="I15" s="23" t="n">
        <v>5</v>
      </c>
      <c r="J15" s="26" t="n">
        <v>0</v>
      </c>
      <c r="K15" s="26" t="n">
        <v>0</v>
      </c>
      <c r="L15" s="24" t="n">
        <v>21</v>
      </c>
      <c r="M15" s="12" t="n">
        <v>3</v>
      </c>
      <c r="N15" s="8" t="n">
        <v>31.5</v>
      </c>
    </row>
    <row r="16">
      <c r="A16" s="21" t="n">
        <v>11</v>
      </c>
      <c r="B16" s="22" t="n">
        <v>100003</v>
      </c>
      <c r="C16" s="16" t="inlineStr">
        <is>
          <t>LEO + Honors Sequence</t>
        </is>
      </c>
      <c r="D16" s="22" t="n">
        <v>3</v>
      </c>
      <c r="E16" s="27" t="n">
        <v>4</v>
      </c>
      <c r="F16" s="23" t="n">
        <v>5</v>
      </c>
      <c r="G16" s="22" t="n">
        <v>3</v>
      </c>
      <c r="H16" s="22" t="n">
        <v>3</v>
      </c>
      <c r="I16" s="26" t="n">
        <v>0</v>
      </c>
      <c r="J16" s="26" t="n">
        <v>0</v>
      </c>
      <c r="K16" s="26" t="n">
        <v>0</v>
      </c>
      <c r="L16" s="24" t="n">
        <v>18</v>
      </c>
      <c r="M16" s="12" t="n">
        <v>2</v>
      </c>
      <c r="N16" s="8" t="n">
        <v>26.5</v>
      </c>
    </row>
    <row r="17">
      <c r="A17" s="21" t="n">
        <v>12</v>
      </c>
      <c r="B17" s="22" t="n">
        <v>100007</v>
      </c>
      <c r="C17" s="16" t="inlineStr">
        <is>
          <t>Robotics + Core Required</t>
        </is>
      </c>
      <c r="D17" s="27" t="n">
        <v>4</v>
      </c>
      <c r="E17" s="22" t="n">
        <v>3</v>
      </c>
      <c r="F17" s="27" t="n">
        <v>4</v>
      </c>
      <c r="G17" s="22" t="n">
        <v>2</v>
      </c>
      <c r="H17" s="22" t="n">
        <v>2</v>
      </c>
      <c r="I17" s="26" t="n">
        <v>0</v>
      </c>
      <c r="J17" s="26" t="n">
        <v>0</v>
      </c>
      <c r="K17" s="26" t="n">
        <v>0</v>
      </c>
      <c r="L17" s="24" t="n">
        <v>15</v>
      </c>
      <c r="M17" s="12" t="n">
        <v>2</v>
      </c>
      <c r="N17" s="8" t="n">
        <v>21.5</v>
      </c>
    </row>
    <row r="18">
      <c r="A18" s="21" t="n">
        <v>13</v>
      </c>
      <c r="B18" s="22" t="n">
        <v>100017</v>
      </c>
      <c r="C18" s="16" t="inlineStr">
        <is>
          <t>LEO + Departmental Core</t>
        </is>
      </c>
      <c r="D18" s="22" t="n">
        <v>2</v>
      </c>
      <c r="E18" s="22" t="n">
        <v>3</v>
      </c>
      <c r="F18" s="23" t="n">
        <v>5</v>
      </c>
      <c r="G18" s="22" t="n">
        <v>2</v>
      </c>
      <c r="H18" s="22" t="n">
        <v>2</v>
      </c>
      <c r="I18" s="26" t="n">
        <v>0</v>
      </c>
      <c r="J18" s="26" t="n">
        <v>0</v>
      </c>
      <c r="K18" s="26" t="n">
        <v>0</v>
      </c>
      <c r="L18" s="24" t="n">
        <v>14</v>
      </c>
      <c r="M18" s="29" t="n">
        <v>1</v>
      </c>
      <c r="N18" s="8" t="n">
        <v>21.5</v>
      </c>
    </row>
    <row r="19">
      <c r="A19" s="21" t="n">
        <v>14</v>
      </c>
      <c r="B19" s="22" t="n">
        <v>100013</v>
      </c>
      <c r="C19" s="16" t="inlineStr">
        <is>
          <t>Sophomore, Required Core</t>
        </is>
      </c>
      <c r="D19" s="27" t="n">
        <v>4</v>
      </c>
      <c r="E19" s="22" t="n">
        <v>3</v>
      </c>
      <c r="F19" s="22" t="n">
        <v>1</v>
      </c>
      <c r="G19" s="22" t="n">
        <v>2</v>
      </c>
      <c r="H19" s="22" t="n">
        <v>2</v>
      </c>
      <c r="I19" s="26" t="n">
        <v>0</v>
      </c>
      <c r="J19" s="26" t="n">
        <v>0</v>
      </c>
      <c r="K19" s="26" t="n">
        <v>0</v>
      </c>
      <c r="L19" s="24" t="n">
        <v>12</v>
      </c>
      <c r="M19" s="29" t="n">
        <v>1</v>
      </c>
      <c r="N19" s="8" t="n">
        <v>15.5</v>
      </c>
    </row>
    <row r="20">
      <c r="A20" s="21" t="n">
        <v>15</v>
      </c>
      <c r="B20" s="22" t="n">
        <v>100019</v>
      </c>
      <c r="C20" s="16" t="inlineStr">
        <is>
          <t>Honors, Flexible Everything</t>
        </is>
      </c>
      <c r="D20" s="22" t="n">
        <v>3</v>
      </c>
      <c r="E20" s="22" t="n">
        <v>3</v>
      </c>
      <c r="F20" s="22" t="n">
        <v>2</v>
      </c>
      <c r="G20" s="22" t="n">
        <v>3</v>
      </c>
      <c r="H20" s="22" t="n">
        <v>3</v>
      </c>
      <c r="I20" s="26" t="n">
        <v>0</v>
      </c>
      <c r="J20" s="26" t="n">
        <v>0</v>
      </c>
      <c r="K20" s="26" t="n">
        <v>0</v>
      </c>
      <c r="L20" s="24" t="n">
        <v>14</v>
      </c>
      <c r="M20" s="29" t="n">
        <v>0</v>
      </c>
      <c r="N20" s="8" t="n">
        <v>19</v>
      </c>
    </row>
    <row r="21">
      <c r="A21" s="21" t="n">
        <v>16</v>
      </c>
      <c r="B21" s="22" t="n">
        <v>100010</v>
      </c>
      <c r="C21" s="16" t="inlineStr">
        <is>
          <t>Senior, Departmental Core</t>
        </is>
      </c>
      <c r="D21" s="22" t="n">
        <v>2</v>
      </c>
      <c r="E21" s="22" t="n">
        <v>3</v>
      </c>
      <c r="F21" s="22" t="n">
        <v>2</v>
      </c>
      <c r="G21" s="22" t="n">
        <v>2</v>
      </c>
      <c r="H21" s="22" t="n">
        <v>2</v>
      </c>
      <c r="I21" s="26" t="n">
        <v>0</v>
      </c>
      <c r="J21" s="26" t="n">
        <v>0</v>
      </c>
      <c r="K21" s="26" t="n">
        <v>0</v>
      </c>
      <c r="L21" s="24" t="n">
        <v>11</v>
      </c>
      <c r="M21" s="29" t="n">
        <v>0</v>
      </c>
      <c r="N21" s="8" t="n">
        <v>15.5</v>
      </c>
    </row>
    <row r="22">
      <c r="A22" s="21" t="n">
        <v>17</v>
      </c>
      <c r="B22" s="22" t="n">
        <v>100012</v>
      </c>
      <c r="C22" s="16" t="inlineStr">
        <is>
          <t>Junior, Standard Elective</t>
        </is>
      </c>
      <c r="D22" s="22" t="n">
        <v>1</v>
      </c>
      <c r="E22" s="22" t="n">
        <v>2</v>
      </c>
      <c r="F22" s="22" t="n">
        <v>1</v>
      </c>
      <c r="G22" s="22" t="n">
        <v>2</v>
      </c>
      <c r="H22" s="22" t="n">
        <v>2</v>
      </c>
      <c r="I22" s="26" t="n">
        <v>0</v>
      </c>
      <c r="J22" s="26" t="n">
        <v>0</v>
      </c>
      <c r="K22" s="26" t="n">
        <v>0</v>
      </c>
      <c r="L22" s="24" t="n">
        <v>8</v>
      </c>
      <c r="M22" s="29" t="n">
        <v>0</v>
      </c>
      <c r="N22" s="8" t="n">
        <v>11</v>
      </c>
    </row>
    <row r="23">
      <c r="A23" s="21" t="n">
        <v>18</v>
      </c>
      <c r="B23" s="22" t="n">
        <v>100014</v>
      </c>
      <c r="C23" s="16" t="inlineStr">
        <is>
          <t>Sophomore, Open Elective</t>
        </is>
      </c>
      <c r="D23" s="22" t="n">
        <v>1</v>
      </c>
      <c r="E23" s="22" t="n">
        <v>1</v>
      </c>
      <c r="F23" s="22" t="n">
        <v>1</v>
      </c>
      <c r="G23" s="22" t="n">
        <v>1</v>
      </c>
      <c r="H23" s="22" t="n">
        <v>1</v>
      </c>
      <c r="I23" s="26" t="n">
        <v>0</v>
      </c>
      <c r="J23" s="26" t="n">
        <v>0</v>
      </c>
      <c r="K23" s="26" t="n">
        <v>0</v>
      </c>
      <c r="L23" s="24" t="n">
        <v>5</v>
      </c>
      <c r="M23" s="29" t="n">
        <v>0</v>
      </c>
      <c r="N23" s="8" t="n">
        <v>7</v>
      </c>
    </row>
    <row r="24">
      <c r="A24" s="21" t="n">
        <v>19</v>
      </c>
      <c r="B24" s="22" t="n">
        <v>100016</v>
      </c>
      <c r="C24" s="16" t="inlineStr">
        <is>
          <t>Freshman, Standard Elective</t>
        </is>
      </c>
      <c r="D24" s="22" t="n">
        <v>1</v>
      </c>
      <c r="E24" s="22" t="n">
        <v>1</v>
      </c>
      <c r="F24" s="22" t="n">
        <v>1</v>
      </c>
      <c r="G24" s="22" t="n">
        <v>1</v>
      </c>
      <c r="H24" s="22" t="n">
        <v>1</v>
      </c>
      <c r="I24" s="26" t="n">
        <v>0</v>
      </c>
      <c r="J24" s="26" t="n">
        <v>0</v>
      </c>
      <c r="K24" s="26" t="n">
        <v>0</v>
      </c>
      <c r="L24" s="24" t="n">
        <v>5</v>
      </c>
      <c r="M24" s="29" t="n">
        <v>0</v>
      </c>
      <c r="N24" s="8" t="n">
        <v>7</v>
      </c>
    </row>
    <row r="25">
      <c r="A25" s="21" t="n">
        <v>20</v>
      </c>
      <c r="B25" s="22" t="n">
        <v>100020</v>
      </c>
      <c r="C25" s="16" t="inlineStr">
        <is>
          <t>Open Elective, Fully Flexible</t>
        </is>
      </c>
      <c r="D25" s="26" t="n">
        <v>0</v>
      </c>
      <c r="E25" s="22" t="n">
        <v>1</v>
      </c>
      <c r="F25" s="22" t="n">
        <v>1</v>
      </c>
      <c r="G25" s="22" t="n">
        <v>1</v>
      </c>
      <c r="H25" s="22" t="n">
        <v>1</v>
      </c>
      <c r="I25" s="26" t="n">
        <v>0</v>
      </c>
      <c r="J25" s="26" t="n">
        <v>0</v>
      </c>
      <c r="K25" s="26" t="n">
        <v>0</v>
      </c>
      <c r="L25" s="24" t="n">
        <v>4</v>
      </c>
      <c r="M25" s="29" t="n">
        <v>0</v>
      </c>
      <c r="N25" s="8" t="n">
        <v>6</v>
      </c>
    </row>
  </sheetData>
  <mergeCells count="2">
    <mergeCell ref="A1:P1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18" customWidth="1" min="4" max="4"/>
    <col width="14" customWidth="1" min="5" max="5"/>
    <col width="18" customWidth="1" min="6" max="6"/>
    <col width="16" customWidth="1" min="7" max="7"/>
    <col width="12" customWidth="1" min="8" max="8"/>
  </cols>
  <sheetData>
    <row r="1">
      <c r="A1" s="1" t="inlineStr">
        <is>
          <t>COMPARISON: 15×15 Matrix vs Weighted Sum + Constraint Count</t>
        </is>
      </c>
    </row>
    <row r="3">
      <c r="A3" s="2" t="inlineStr">
        <is>
          <t>Rank (New)</t>
        </is>
      </c>
      <c r="B3" s="2" t="inlineStr">
        <is>
          <t>Student ID</t>
        </is>
      </c>
      <c r="C3" s="2" t="inlineStr">
        <is>
          <t>Profile</t>
        </is>
      </c>
      <c r="D3" s="2" t="inlineStr">
        <is>
          <t>Old Matrix Score</t>
        </is>
      </c>
      <c r="E3" s="2" t="inlineStr">
        <is>
          <t>Old Rank</t>
        </is>
      </c>
      <c r="F3" s="2" t="inlineStr">
        <is>
          <t>Constraint Count</t>
        </is>
      </c>
      <c r="G3" s="2" t="inlineStr">
        <is>
          <t>Weighted Sum</t>
        </is>
      </c>
      <c r="H3" s="2" t="inlineStr">
        <is>
          <t>New Rank</t>
        </is>
      </c>
    </row>
    <row r="4">
      <c r="A4" s="21" t="n">
        <v>1</v>
      </c>
      <c r="B4" s="22" t="n">
        <v>100001</v>
      </c>
      <c r="C4" s="16" t="inlineStr">
        <is>
          <t>LEO + AP Singleton + Locked</t>
        </is>
      </c>
      <c r="D4" s="26" t="n">
        <v>7200</v>
      </c>
      <c r="E4" s="30" t="inlineStr">
        <is>
          <t>1 (—)</t>
        </is>
      </c>
      <c r="F4" s="25" t="n">
        <v>8</v>
      </c>
      <c r="G4" s="8" t="n">
        <v>62.5</v>
      </c>
      <c r="H4" s="21" t="n">
        <v>1</v>
      </c>
    </row>
    <row r="5">
      <c r="A5" s="21" t="n">
        <v>2</v>
      </c>
      <c r="B5" s="22" t="n">
        <v>100004</v>
      </c>
      <c r="C5" s="16" t="inlineStr">
        <is>
          <t>AP Student, Not LEO, Locked Period</t>
        </is>
      </c>
      <c r="D5" s="26" t="n">
        <v>5580</v>
      </c>
      <c r="E5" s="30" t="inlineStr">
        <is>
          <t>2 (—)</t>
        </is>
      </c>
      <c r="F5" s="25" t="n">
        <v>6</v>
      </c>
      <c r="G5" s="8" t="n">
        <v>47</v>
      </c>
      <c r="H5" s="21" t="n">
        <v>2</v>
      </c>
    </row>
    <row r="6">
      <c r="A6" s="21" t="n">
        <v>3</v>
      </c>
      <c r="B6" s="22" t="n">
        <v>100018</v>
      </c>
      <c r="C6" s="16" t="inlineStr">
        <is>
          <t>AP + Locked Term + Locked Period</t>
        </is>
      </c>
      <c r="D6" s="26" t="n">
        <v>5580</v>
      </c>
      <c r="E6" s="30" t="inlineStr">
        <is>
          <t>3 (—)</t>
        </is>
      </c>
      <c r="F6" s="25" t="n">
        <v>6</v>
      </c>
      <c r="G6" s="8" t="n">
        <v>47</v>
      </c>
      <c r="H6" s="21" t="n">
        <v>3</v>
      </c>
    </row>
    <row r="7">
      <c r="A7" s="21" t="n">
        <v>4</v>
      </c>
      <c r="B7" s="22" t="n">
        <v>100002</v>
      </c>
      <c r="C7" s="16" t="inlineStr">
        <is>
          <t>LEO + AP Singleton + Flexible</t>
        </is>
      </c>
      <c r="D7" s="26" t="n">
        <v>5220</v>
      </c>
      <c r="E7" s="31" t="inlineStr">
        <is>
          <t>5 (↑1)</t>
        </is>
      </c>
      <c r="F7" s="25" t="n">
        <v>6</v>
      </c>
      <c r="G7" s="8" t="n">
        <v>44</v>
      </c>
      <c r="H7" s="21" t="n">
        <v>4</v>
      </c>
    </row>
    <row r="8">
      <c r="A8" s="21" t="n">
        <v>5</v>
      </c>
      <c r="B8" s="22" t="n">
        <v>100015</v>
      </c>
      <c r="C8" s="16" t="inlineStr">
        <is>
          <t>Freshman, Required Core, Locked</t>
        </is>
      </c>
      <c r="D8" s="26" t="n">
        <v>5400</v>
      </c>
      <c r="E8" s="32" t="inlineStr">
        <is>
          <t>4 (↓1)</t>
        </is>
      </c>
      <c r="F8" s="28" t="n">
        <v>5</v>
      </c>
      <c r="G8" s="8" t="n">
        <v>47</v>
      </c>
      <c r="H8" s="21" t="n">
        <v>5</v>
      </c>
    </row>
    <row r="9">
      <c r="A9" s="21" t="n">
        <v>6</v>
      </c>
      <c r="B9" s="22" t="n">
        <v>100008</v>
      </c>
      <c r="C9" s="16" t="inlineStr">
        <is>
          <t>String Orchestra + Honors</t>
        </is>
      </c>
      <c r="D9" s="26" t="n">
        <v>4320</v>
      </c>
      <c r="E9" s="31" t="inlineStr">
        <is>
          <t>8 (↑2)</t>
        </is>
      </c>
      <c r="F9" s="28" t="n">
        <v>5</v>
      </c>
      <c r="G9" s="8" t="n">
        <v>37</v>
      </c>
      <c r="H9" s="21" t="n">
        <v>6</v>
      </c>
    </row>
    <row r="10">
      <c r="A10" s="21" t="n">
        <v>7</v>
      </c>
      <c r="B10" s="22" t="n">
        <v>100006</v>
      </c>
      <c r="C10" s="16" t="inlineStr">
        <is>
          <t>Robotics + Honors, Locked Period</t>
        </is>
      </c>
      <c r="D10" s="26" t="n">
        <v>4860</v>
      </c>
      <c r="E10" s="32" t="inlineStr">
        <is>
          <t>6 (↓1)</t>
        </is>
      </c>
      <c r="F10" s="28" t="n">
        <v>4</v>
      </c>
      <c r="G10" s="8" t="n">
        <v>42</v>
      </c>
      <c r="H10" s="21" t="n">
        <v>7</v>
      </c>
    </row>
    <row r="11">
      <c r="A11" s="21" t="n">
        <v>8</v>
      </c>
      <c r="B11" s="22" t="n">
        <v>100005</v>
      </c>
      <c r="C11" s="16" t="inlineStr">
        <is>
          <t>AP Student, Not LEO, Flexible</t>
        </is>
      </c>
      <c r="D11" s="26" t="n">
        <v>3420</v>
      </c>
      <c r="E11" s="31" t="inlineStr">
        <is>
          <t>10 (↑2)</t>
        </is>
      </c>
      <c r="F11" s="28" t="n">
        <v>4</v>
      </c>
      <c r="G11" s="8" t="n">
        <v>24.5</v>
      </c>
      <c r="H11" s="21" t="n">
        <v>8</v>
      </c>
    </row>
    <row r="12">
      <c r="A12" s="21" t="n">
        <v>9</v>
      </c>
      <c r="B12" s="22" t="n">
        <v>100011</v>
      </c>
      <c r="C12" s="16" t="inlineStr">
        <is>
          <t>Junior, Honors Sequence, Locked</t>
        </is>
      </c>
      <c r="D12" s="26" t="n">
        <v>4500</v>
      </c>
      <c r="E12" s="32" t="inlineStr">
        <is>
          <t>7 (↓2)</t>
        </is>
      </c>
      <c r="F12" s="12" t="n">
        <v>3</v>
      </c>
      <c r="G12" s="8" t="n">
        <v>40.5</v>
      </c>
      <c r="H12" s="21" t="n">
        <v>9</v>
      </c>
    </row>
    <row r="13">
      <c r="A13" s="21" t="n">
        <v>10</v>
      </c>
      <c r="B13" s="22" t="n">
        <v>100009</v>
      </c>
      <c r="C13" s="16" t="inlineStr">
        <is>
          <t>Senior, Required Core, Locked Term</t>
        </is>
      </c>
      <c r="D13" s="26" t="n">
        <v>3780</v>
      </c>
      <c r="E13" s="32" t="inlineStr">
        <is>
          <t>9 (↓1)</t>
        </is>
      </c>
      <c r="F13" s="12" t="n">
        <v>3</v>
      </c>
      <c r="G13" s="8" t="n">
        <v>31.5</v>
      </c>
      <c r="H13" s="21" t="n">
        <v>10</v>
      </c>
    </row>
    <row r="14">
      <c r="A14" s="21" t="n">
        <v>11</v>
      </c>
      <c r="B14" s="22" t="n">
        <v>100003</v>
      </c>
      <c r="C14" s="16" t="inlineStr">
        <is>
          <t>LEO + Honors Sequence</t>
        </is>
      </c>
      <c r="D14" s="26" t="n">
        <v>3240</v>
      </c>
      <c r="E14" s="30" t="inlineStr">
        <is>
          <t>11 (—)</t>
        </is>
      </c>
      <c r="F14" s="12" t="n">
        <v>2</v>
      </c>
      <c r="G14" s="8" t="n">
        <v>26.5</v>
      </c>
      <c r="H14" s="21" t="n">
        <v>11</v>
      </c>
    </row>
    <row r="15">
      <c r="A15" s="21" t="n">
        <v>12</v>
      </c>
      <c r="B15" s="22" t="n">
        <v>100007</v>
      </c>
      <c r="C15" s="16" t="inlineStr">
        <is>
          <t>Robotics + Core Required</t>
        </is>
      </c>
      <c r="D15" s="26" t="n">
        <v>2700</v>
      </c>
      <c r="E15" s="30" t="inlineStr">
        <is>
          <t>12 (—)</t>
        </is>
      </c>
      <c r="F15" s="12" t="n">
        <v>2</v>
      </c>
      <c r="G15" s="8" t="n">
        <v>21.5</v>
      </c>
      <c r="H15" s="21" t="n">
        <v>12</v>
      </c>
    </row>
    <row r="16">
      <c r="A16" s="21" t="n">
        <v>13</v>
      </c>
      <c r="B16" s="22" t="n">
        <v>100017</v>
      </c>
      <c r="C16" s="16" t="inlineStr">
        <is>
          <t>LEO + Departmental Core</t>
        </is>
      </c>
      <c r="D16" s="26" t="n">
        <v>2520</v>
      </c>
      <c r="E16" s="30" t="inlineStr">
        <is>
          <t>13 (—)</t>
        </is>
      </c>
      <c r="F16" s="29" t="n">
        <v>1</v>
      </c>
      <c r="G16" s="8" t="n">
        <v>21.5</v>
      </c>
      <c r="H16" s="21" t="n">
        <v>13</v>
      </c>
    </row>
    <row r="17">
      <c r="A17" s="21" t="n">
        <v>14</v>
      </c>
      <c r="B17" s="22" t="n">
        <v>100013</v>
      </c>
      <c r="C17" s="16" t="inlineStr">
        <is>
          <t>Sophomore, Required Core</t>
        </is>
      </c>
      <c r="D17" s="26" t="n">
        <v>2160</v>
      </c>
      <c r="E17" s="31" t="inlineStr">
        <is>
          <t>15 (↑1)</t>
        </is>
      </c>
      <c r="F17" s="29" t="n">
        <v>1</v>
      </c>
      <c r="G17" s="8" t="n">
        <v>15.5</v>
      </c>
      <c r="H17" s="21" t="n">
        <v>14</v>
      </c>
    </row>
    <row r="18">
      <c r="A18" s="21" t="n">
        <v>15</v>
      </c>
      <c r="B18" s="22" t="n">
        <v>100019</v>
      </c>
      <c r="C18" s="16" t="inlineStr">
        <is>
          <t>Honors, Flexible Everything</t>
        </is>
      </c>
      <c r="D18" s="26" t="n">
        <v>2520</v>
      </c>
      <c r="E18" s="32" t="inlineStr">
        <is>
          <t>14 (↓1)</t>
        </is>
      </c>
      <c r="F18" s="29" t="n">
        <v>0</v>
      </c>
      <c r="G18" s="8" t="n">
        <v>19</v>
      </c>
      <c r="H18" s="21" t="n">
        <v>15</v>
      </c>
    </row>
    <row r="19">
      <c r="A19" s="21" t="n">
        <v>16</v>
      </c>
      <c r="B19" s="22" t="n">
        <v>100010</v>
      </c>
      <c r="C19" s="16" t="inlineStr">
        <is>
          <t>Senior, Departmental Core</t>
        </is>
      </c>
      <c r="D19" s="26" t="n">
        <v>1980</v>
      </c>
      <c r="E19" s="30" t="inlineStr">
        <is>
          <t>16 (—)</t>
        </is>
      </c>
      <c r="F19" s="29" t="n">
        <v>0</v>
      </c>
      <c r="G19" s="8" t="n">
        <v>15.5</v>
      </c>
      <c r="H19" s="21" t="n">
        <v>16</v>
      </c>
    </row>
    <row r="20">
      <c r="A20" s="21" t="n">
        <v>17</v>
      </c>
      <c r="B20" s="22" t="n">
        <v>100012</v>
      </c>
      <c r="C20" s="16" t="inlineStr">
        <is>
          <t>Junior, Standard Elective</t>
        </is>
      </c>
      <c r="D20" s="26" t="n">
        <v>1440</v>
      </c>
      <c r="E20" s="30" t="inlineStr">
        <is>
          <t>17 (—)</t>
        </is>
      </c>
      <c r="F20" s="29" t="n">
        <v>0</v>
      </c>
      <c r="G20" s="8" t="n">
        <v>11</v>
      </c>
      <c r="H20" s="21" t="n">
        <v>17</v>
      </c>
    </row>
    <row r="21">
      <c r="A21" s="21" t="n">
        <v>18</v>
      </c>
      <c r="B21" s="22" t="n">
        <v>100014</v>
      </c>
      <c r="C21" s="16" t="inlineStr">
        <is>
          <t>Sophomore, Open Elective</t>
        </is>
      </c>
      <c r="D21" s="26" t="n">
        <v>900</v>
      </c>
      <c r="E21" s="30" t="inlineStr">
        <is>
          <t>18 (—)</t>
        </is>
      </c>
      <c r="F21" s="29" t="n">
        <v>0</v>
      </c>
      <c r="G21" s="8" t="n">
        <v>7</v>
      </c>
      <c r="H21" s="21" t="n">
        <v>18</v>
      </c>
    </row>
    <row r="22">
      <c r="A22" s="21" t="n">
        <v>19</v>
      </c>
      <c r="B22" s="22" t="n">
        <v>100016</v>
      </c>
      <c r="C22" s="16" t="inlineStr">
        <is>
          <t>Freshman, Standard Elective</t>
        </is>
      </c>
      <c r="D22" s="26" t="n">
        <v>900</v>
      </c>
      <c r="E22" s="30" t="inlineStr">
        <is>
          <t>19 (—)</t>
        </is>
      </c>
      <c r="F22" s="29" t="n">
        <v>0</v>
      </c>
      <c r="G22" s="8" t="n">
        <v>7</v>
      </c>
      <c r="H22" s="21" t="n">
        <v>19</v>
      </c>
    </row>
    <row r="23">
      <c r="A23" s="21" t="n">
        <v>20</v>
      </c>
      <c r="B23" s="22" t="n">
        <v>100020</v>
      </c>
      <c r="C23" s="16" t="inlineStr">
        <is>
          <t>Open Elective, Fully Flexible</t>
        </is>
      </c>
      <c r="D23" s="26" t="n">
        <v>720</v>
      </c>
      <c r="E23" s="30" t="inlineStr">
        <is>
          <t>20 (—)</t>
        </is>
      </c>
      <c r="F23" s="29" t="n">
        <v>0</v>
      </c>
      <c r="G23" s="8" t="n">
        <v>6</v>
      </c>
      <c r="H23" s="21" t="n">
        <v>20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100001</t>
        </is>
      </c>
      <c r="G2" s="2" t="inlineStr">
        <is>
          <t>RANK</t>
        </is>
      </c>
    </row>
    <row r="3">
      <c r="A3" s="33" t="inlineStr">
        <is>
          <t>LEO + AP Singleton + Locked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5" t="n">
        <v>5</v>
      </c>
      <c r="D6" s="35" t="inlineStr">
        <is>
          <t>×1.0</t>
        </is>
      </c>
      <c r="E6" s="8" t="n">
        <v>5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25" t="n">
        <v>5</v>
      </c>
      <c r="D7" s="35" t="inlineStr">
        <is>
          <t>×1.5</t>
        </is>
      </c>
      <c r="E7" s="8" t="n">
        <v>7.5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25" t="n">
        <v>5</v>
      </c>
      <c r="D8" s="35" t="inlineStr">
        <is>
          <t>×2.0</t>
        </is>
      </c>
      <c r="E8" s="8" t="n">
        <v>10</v>
      </c>
      <c r="F8" s="36" t="inlineStr">
        <is>
          <t>YES</t>
        </is>
      </c>
    </row>
    <row r="9">
      <c r="A9" s="5" t="n">
        <v>4</v>
      </c>
      <c r="B9" s="4" t="inlineStr">
        <is>
          <t>Master Teacher Profile Priority</t>
        </is>
      </c>
      <c r="C9" s="25" t="n">
        <v>5</v>
      </c>
      <c r="D9" s="35" t="inlineStr">
        <is>
          <t>×1.0</t>
        </is>
      </c>
      <c r="E9" s="8" t="n">
        <v>5</v>
      </c>
      <c r="F9" s="36" t="inlineStr">
        <is>
          <t>YES</t>
        </is>
      </c>
    </row>
    <row r="10">
      <c r="A10" s="5" t="n">
        <v>5</v>
      </c>
      <c r="B10" s="4" t="inlineStr">
        <is>
          <t>Current Year Teacher Assignment Priority</t>
        </is>
      </c>
      <c r="C10" s="25" t="n">
        <v>5</v>
      </c>
      <c r="D10" s="35" t="inlineStr">
        <is>
          <t>×1.5</t>
        </is>
      </c>
      <c r="E10" s="8" t="n">
        <v>7.5</v>
      </c>
      <c r="F10" s="36" t="inlineStr">
        <is>
          <t>YES</t>
        </is>
      </c>
    </row>
    <row r="11">
      <c r="A11" s="5" t="n">
        <v>6</v>
      </c>
      <c r="B11" s="4" t="inlineStr">
        <is>
          <t>Term Lock</t>
        </is>
      </c>
      <c r="C11" s="25" t="n">
        <v>5</v>
      </c>
      <c r="D11" s="35" t="inlineStr">
        <is>
          <t>×2.0</t>
        </is>
      </c>
      <c r="E11" s="8" t="n">
        <v>10</v>
      </c>
      <c r="F11" s="36" t="inlineStr">
        <is>
          <t>YES</t>
        </is>
      </c>
    </row>
    <row r="12">
      <c r="A12" s="5" t="n">
        <v>7</v>
      </c>
      <c r="B12" s="4" t="inlineStr">
        <is>
          <t>Period Lock</t>
        </is>
      </c>
      <c r="C12" s="25" t="n">
        <v>5</v>
      </c>
      <c r="D12" s="35" t="inlineStr">
        <is>
          <t>×2.0</t>
        </is>
      </c>
      <c r="E12" s="8" t="n">
        <v>10</v>
      </c>
      <c r="F12" s="36" t="inlineStr">
        <is>
          <t>YES</t>
        </is>
      </c>
    </row>
    <row r="13">
      <c r="A13" s="5" t="n">
        <v>8</v>
      </c>
      <c r="B13" s="4" t="inlineStr">
        <is>
          <t>Room Lock</t>
        </is>
      </c>
      <c r="C13" s="25" t="n">
        <v>5</v>
      </c>
      <c r="D13" s="35" t="inlineStr">
        <is>
          <t>×1.5</t>
        </is>
      </c>
      <c r="E13" s="8" t="n">
        <v>7.5</v>
      </c>
      <c r="F13" s="36" t="inlineStr">
        <is>
          <t>YES</t>
        </is>
      </c>
    </row>
    <row r="14">
      <c r="A14" s="37" t="inlineStr"/>
      <c r="B14" s="38" t="inlineStr">
        <is>
          <t>TOTALS</t>
        </is>
      </c>
      <c r="C14" s="39" t="n">
        <v>40</v>
      </c>
      <c r="D14" s="37" t="inlineStr"/>
      <c r="E14" s="39" t="n">
        <v>62.5</v>
      </c>
      <c r="F14" s="39" t="n">
        <v>8</v>
      </c>
    </row>
    <row r="16">
      <c r="A16" s="40" t="inlineStr">
        <is>
          <t>CONSTRAINT COUNT</t>
        </is>
      </c>
      <c r="C16" s="41" t="n">
        <v>8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62.5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 of 20  |  Constraint Count: 8  |  Weighted Sum: 62.5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47" t="inlineStr"/>
      <c r="C23" s="47" t="inlineStr"/>
      <c r="D23" s="47" t="inlineStr"/>
      <c r="E23" s="47" t="inlineStr"/>
      <c r="F23" s="47" t="inlineStr"/>
      <c r="G23" s="46" t="n">
        <v>5</v>
      </c>
    </row>
    <row r="24">
      <c r="A24" s="46" t="inlineStr">
        <is>
          <t>CYRP</t>
        </is>
      </c>
      <c r="B24" s="47" t="inlineStr"/>
      <c r="C24" s="47" t="inlineStr"/>
      <c r="D24" s="47" t="inlineStr"/>
      <c r="E24" s="47" t="inlineStr"/>
      <c r="F24" s="47" t="inlineStr"/>
      <c r="G24" s="46" t="n">
        <v>5</v>
      </c>
    </row>
    <row r="25">
      <c r="A25" s="46" t="inlineStr">
        <is>
          <t>SSP</t>
        </is>
      </c>
      <c r="B25" s="47" t="inlineStr"/>
      <c r="C25" s="47" t="inlineStr"/>
      <c r="D25" s="47" t="inlineStr"/>
      <c r="E25" s="47" t="inlineStr"/>
      <c r="F25" s="47" t="inlineStr"/>
      <c r="G25" s="46" t="n">
        <v>5</v>
      </c>
    </row>
    <row r="26">
      <c r="A26" s="46" t="inlineStr">
        <is>
          <t>MTP</t>
        </is>
      </c>
      <c r="B26" s="47" t="inlineStr"/>
      <c r="C26" s="47" t="inlineStr"/>
      <c r="D26" s="47" t="inlineStr"/>
      <c r="E26" s="47" t="inlineStr"/>
      <c r="F26" s="47" t="inlineStr"/>
      <c r="G26" s="46" t="n">
        <v>5</v>
      </c>
    </row>
    <row r="27">
      <c r="A27" s="46" t="inlineStr">
        <is>
          <t>CTAP</t>
        </is>
      </c>
      <c r="B27" s="47" t="inlineStr"/>
      <c r="C27" s="47" t="inlineStr"/>
      <c r="D27" s="47" t="inlineStr"/>
      <c r="E27" s="47" t="inlineStr"/>
      <c r="F27" s="47" t="inlineStr"/>
      <c r="G27" s="46" t="n">
        <v>5</v>
      </c>
    </row>
    <row r="28">
      <c r="A28" s="46" t="inlineStr">
        <is>
          <t>TL</t>
        </is>
      </c>
      <c r="B28" s="47" t="inlineStr"/>
      <c r="C28" s="47" t="inlineStr"/>
      <c r="D28" s="47" t="inlineStr"/>
      <c r="E28" s="47" t="inlineStr"/>
      <c r="F28" s="47" t="inlineStr"/>
      <c r="G28" s="46" t="n">
        <v>5</v>
      </c>
    </row>
    <row r="29">
      <c r="A29" s="46" t="inlineStr">
        <is>
          <t>PL</t>
        </is>
      </c>
      <c r="B29" s="47" t="inlineStr"/>
      <c r="C29" s="47" t="inlineStr"/>
      <c r="D29" s="47" t="inlineStr"/>
      <c r="E29" s="47" t="inlineStr"/>
      <c r="F29" s="47" t="inlineStr"/>
      <c r="G29" s="46" t="n">
        <v>5</v>
      </c>
    </row>
    <row r="30">
      <c r="A30" s="46" t="inlineStr">
        <is>
          <t>RL</t>
        </is>
      </c>
      <c r="B30" s="47" t="inlineStr"/>
      <c r="C30" s="47" t="inlineStr"/>
      <c r="D30" s="47" t="inlineStr"/>
      <c r="E30" s="47" t="inlineStr"/>
      <c r="F30" s="47" t="inlineStr"/>
      <c r="G30" s="46" t="n">
        <v>5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100004</t>
        </is>
      </c>
      <c r="G2" s="2" t="inlineStr">
        <is>
          <t>RANK</t>
        </is>
      </c>
    </row>
    <row r="3">
      <c r="A3" s="33" t="inlineStr">
        <is>
          <t>AP Student, Not LEO, Locked Period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5" t="n">
        <v>5</v>
      </c>
      <c r="D6" s="35" t="inlineStr">
        <is>
          <t>×1.0</t>
        </is>
      </c>
      <c r="E6" s="8" t="n">
        <v>5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25" t="n">
        <v>5</v>
      </c>
      <c r="D7" s="35" t="inlineStr">
        <is>
          <t>×1.5</t>
        </is>
      </c>
      <c r="E7" s="8" t="n">
        <v>7.5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25" t="n">
        <v>5</v>
      </c>
      <c r="D9" s="35" t="inlineStr">
        <is>
          <t>×1.0</t>
        </is>
      </c>
      <c r="E9" s="8" t="n">
        <v>5</v>
      </c>
      <c r="F9" s="36" t="inlineStr">
        <is>
          <t>YES</t>
        </is>
      </c>
    </row>
    <row r="10">
      <c r="A10" s="5" t="n">
        <v>5</v>
      </c>
      <c r="B10" s="4" t="inlineStr">
        <is>
          <t>Current Year Teacher Assignment Priority</t>
        </is>
      </c>
      <c r="C10" s="25" t="n">
        <v>5</v>
      </c>
      <c r="D10" s="35" t="inlineStr">
        <is>
          <t>×1.5</t>
        </is>
      </c>
      <c r="E10" s="8" t="n">
        <v>7.5</v>
      </c>
      <c r="F10" s="36" t="inlineStr">
        <is>
          <t>YES</t>
        </is>
      </c>
    </row>
    <row r="11">
      <c r="A11" s="5" t="n">
        <v>6</v>
      </c>
      <c r="B11" s="4" t="inlineStr">
        <is>
          <t>Term Lock</t>
        </is>
      </c>
      <c r="C11" s="25" t="n">
        <v>5</v>
      </c>
      <c r="D11" s="35" t="inlineStr">
        <is>
          <t>×2.0</t>
        </is>
      </c>
      <c r="E11" s="8" t="n">
        <v>10</v>
      </c>
      <c r="F11" s="36" t="inlineStr">
        <is>
          <t>YES</t>
        </is>
      </c>
    </row>
    <row r="12">
      <c r="A12" s="5" t="n">
        <v>7</v>
      </c>
      <c r="B12" s="4" t="inlineStr">
        <is>
          <t>Period Lock</t>
        </is>
      </c>
      <c r="C12" s="25" t="n">
        <v>5</v>
      </c>
      <c r="D12" s="35" t="inlineStr">
        <is>
          <t>×2.0</t>
        </is>
      </c>
      <c r="E12" s="8" t="n">
        <v>10</v>
      </c>
      <c r="F12" s="36" t="inlineStr">
        <is>
          <t>YES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31</v>
      </c>
      <c r="D14" s="37" t="inlineStr"/>
      <c r="E14" s="39" t="n">
        <v>47</v>
      </c>
      <c r="F14" s="39" t="n">
        <v>6</v>
      </c>
    </row>
    <row r="16">
      <c r="A16" s="40" t="inlineStr">
        <is>
          <t>CONSTRAINT COUNT</t>
        </is>
      </c>
      <c r="C16" s="41" t="n">
        <v>6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47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2 of 20  |  Constraint Count: 6  |  Weighted Sum: 47.0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47" t="inlineStr"/>
      <c r="C23" s="47" t="inlineStr"/>
      <c r="D23" s="47" t="inlineStr"/>
      <c r="E23" s="47" t="inlineStr"/>
      <c r="F23" s="47" t="inlineStr"/>
      <c r="G23" s="46" t="n">
        <v>5</v>
      </c>
    </row>
    <row r="24">
      <c r="A24" s="46" t="inlineStr">
        <is>
          <t>CYRP</t>
        </is>
      </c>
      <c r="B24" s="47" t="inlineStr"/>
      <c r="C24" s="47" t="inlineStr"/>
      <c r="D24" s="47" t="inlineStr"/>
      <c r="E24" s="47" t="inlineStr"/>
      <c r="F24" s="47" t="inlineStr"/>
      <c r="G24" s="46" t="n">
        <v>5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47" t="inlineStr"/>
      <c r="C26" s="47" t="inlineStr"/>
      <c r="D26" s="47" t="inlineStr"/>
      <c r="E26" s="47" t="inlineStr"/>
      <c r="F26" s="47" t="inlineStr"/>
      <c r="G26" s="46" t="n">
        <v>5</v>
      </c>
    </row>
    <row r="27">
      <c r="A27" s="46" t="inlineStr">
        <is>
          <t>CTAP</t>
        </is>
      </c>
      <c r="B27" s="47" t="inlineStr"/>
      <c r="C27" s="47" t="inlineStr"/>
      <c r="D27" s="47" t="inlineStr"/>
      <c r="E27" s="47" t="inlineStr"/>
      <c r="F27" s="47" t="inlineStr"/>
      <c r="G27" s="46" t="n">
        <v>5</v>
      </c>
    </row>
    <row r="28">
      <c r="A28" s="46" t="inlineStr">
        <is>
          <t>TL</t>
        </is>
      </c>
      <c r="B28" s="47" t="inlineStr"/>
      <c r="C28" s="47" t="inlineStr"/>
      <c r="D28" s="47" t="inlineStr"/>
      <c r="E28" s="47" t="inlineStr"/>
      <c r="F28" s="47" t="inlineStr"/>
      <c r="G28" s="46" t="n">
        <v>5</v>
      </c>
    </row>
    <row r="29">
      <c r="A29" s="46" t="inlineStr">
        <is>
          <t>PL</t>
        </is>
      </c>
      <c r="B29" s="47" t="inlineStr"/>
      <c r="C29" s="47" t="inlineStr"/>
      <c r="D29" s="47" t="inlineStr"/>
      <c r="E29" s="47" t="inlineStr"/>
      <c r="F29" s="47" t="inlineStr"/>
      <c r="G29" s="46" t="n">
        <v>5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100018</t>
        </is>
      </c>
      <c r="G2" s="2" t="inlineStr">
        <is>
          <t>RANK</t>
        </is>
      </c>
    </row>
    <row r="3">
      <c r="A3" s="33" t="inlineStr">
        <is>
          <t>AP + Locked Term + Locked Period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5" t="n">
        <v>5</v>
      </c>
      <c r="D6" s="35" t="inlineStr">
        <is>
          <t>×1.0</t>
        </is>
      </c>
      <c r="E6" s="8" t="n">
        <v>5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25" t="n">
        <v>5</v>
      </c>
      <c r="D7" s="35" t="inlineStr">
        <is>
          <t>×1.5</t>
        </is>
      </c>
      <c r="E7" s="8" t="n">
        <v>7.5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25" t="n">
        <v>5</v>
      </c>
      <c r="D9" s="35" t="inlineStr">
        <is>
          <t>×1.0</t>
        </is>
      </c>
      <c r="E9" s="8" t="n">
        <v>5</v>
      </c>
      <c r="F9" s="36" t="inlineStr">
        <is>
          <t>YES</t>
        </is>
      </c>
    </row>
    <row r="10">
      <c r="A10" s="5" t="n">
        <v>5</v>
      </c>
      <c r="B10" s="4" t="inlineStr">
        <is>
          <t>Current Year Teacher Assignment Priority</t>
        </is>
      </c>
      <c r="C10" s="25" t="n">
        <v>5</v>
      </c>
      <c r="D10" s="35" t="inlineStr">
        <is>
          <t>×1.5</t>
        </is>
      </c>
      <c r="E10" s="8" t="n">
        <v>7.5</v>
      </c>
      <c r="F10" s="36" t="inlineStr">
        <is>
          <t>YES</t>
        </is>
      </c>
    </row>
    <row r="11">
      <c r="A11" s="5" t="n">
        <v>6</v>
      </c>
      <c r="B11" s="4" t="inlineStr">
        <is>
          <t>Term Lock</t>
        </is>
      </c>
      <c r="C11" s="25" t="n">
        <v>5</v>
      </c>
      <c r="D11" s="35" t="inlineStr">
        <is>
          <t>×2.0</t>
        </is>
      </c>
      <c r="E11" s="8" t="n">
        <v>10</v>
      </c>
      <c r="F11" s="36" t="inlineStr">
        <is>
          <t>YES</t>
        </is>
      </c>
    </row>
    <row r="12">
      <c r="A12" s="5" t="n">
        <v>7</v>
      </c>
      <c r="B12" s="4" t="inlineStr">
        <is>
          <t>Period Lock</t>
        </is>
      </c>
      <c r="C12" s="25" t="n">
        <v>5</v>
      </c>
      <c r="D12" s="35" t="inlineStr">
        <is>
          <t>×2.0</t>
        </is>
      </c>
      <c r="E12" s="8" t="n">
        <v>10</v>
      </c>
      <c r="F12" s="36" t="inlineStr">
        <is>
          <t>YES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31</v>
      </c>
      <c r="D14" s="37" t="inlineStr"/>
      <c r="E14" s="39" t="n">
        <v>47</v>
      </c>
      <c r="F14" s="39" t="n">
        <v>6</v>
      </c>
    </row>
    <row r="16">
      <c r="A16" s="40" t="inlineStr">
        <is>
          <t>CONSTRAINT COUNT</t>
        </is>
      </c>
      <c r="C16" s="41" t="n">
        <v>6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47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3 of 20  |  Constraint Count: 6  |  Weighted Sum: 47.0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47" t="inlineStr"/>
      <c r="C23" s="47" t="inlineStr"/>
      <c r="D23" s="47" t="inlineStr"/>
      <c r="E23" s="47" t="inlineStr"/>
      <c r="F23" s="47" t="inlineStr"/>
      <c r="G23" s="46" t="n">
        <v>5</v>
      </c>
    </row>
    <row r="24">
      <c r="A24" s="46" t="inlineStr">
        <is>
          <t>CYRP</t>
        </is>
      </c>
      <c r="B24" s="47" t="inlineStr"/>
      <c r="C24" s="47" t="inlineStr"/>
      <c r="D24" s="47" t="inlineStr"/>
      <c r="E24" s="47" t="inlineStr"/>
      <c r="F24" s="47" t="inlineStr"/>
      <c r="G24" s="46" t="n">
        <v>5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47" t="inlineStr"/>
      <c r="C26" s="47" t="inlineStr"/>
      <c r="D26" s="47" t="inlineStr"/>
      <c r="E26" s="47" t="inlineStr"/>
      <c r="F26" s="47" t="inlineStr"/>
      <c r="G26" s="46" t="n">
        <v>5</v>
      </c>
    </row>
    <row r="27">
      <c r="A27" s="46" t="inlineStr">
        <is>
          <t>CTAP</t>
        </is>
      </c>
      <c r="B27" s="47" t="inlineStr"/>
      <c r="C27" s="47" t="inlineStr"/>
      <c r="D27" s="47" t="inlineStr"/>
      <c r="E27" s="47" t="inlineStr"/>
      <c r="F27" s="47" t="inlineStr"/>
      <c r="G27" s="46" t="n">
        <v>5</v>
      </c>
    </row>
    <row r="28">
      <c r="A28" s="46" t="inlineStr">
        <is>
          <t>TL</t>
        </is>
      </c>
      <c r="B28" s="47" t="inlineStr"/>
      <c r="C28" s="47" t="inlineStr"/>
      <c r="D28" s="47" t="inlineStr"/>
      <c r="E28" s="47" t="inlineStr"/>
      <c r="F28" s="47" t="inlineStr"/>
      <c r="G28" s="46" t="n">
        <v>5</v>
      </c>
    </row>
    <row r="29">
      <c r="A29" s="46" t="inlineStr">
        <is>
          <t>PL</t>
        </is>
      </c>
      <c r="B29" s="47" t="inlineStr"/>
      <c r="C29" s="47" t="inlineStr"/>
      <c r="D29" s="47" t="inlineStr"/>
      <c r="E29" s="47" t="inlineStr"/>
      <c r="F29" s="47" t="inlineStr"/>
      <c r="G29" s="46" t="n">
        <v>5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100002</t>
        </is>
      </c>
      <c r="G2" s="2" t="inlineStr">
        <is>
          <t>RANK</t>
        </is>
      </c>
    </row>
    <row r="3">
      <c r="A3" s="33" t="inlineStr">
        <is>
          <t>LEO + AP Singleton + Flexible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5" t="n">
        <v>5</v>
      </c>
      <c r="D6" s="35" t="inlineStr">
        <is>
          <t>×1.0</t>
        </is>
      </c>
      <c r="E6" s="8" t="n">
        <v>5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25" t="n">
        <v>5</v>
      </c>
      <c r="D7" s="35" t="inlineStr">
        <is>
          <t>×1.5</t>
        </is>
      </c>
      <c r="E7" s="8" t="n">
        <v>7.5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25" t="n">
        <v>5</v>
      </c>
      <c r="D8" s="35" t="inlineStr">
        <is>
          <t>×2.0</t>
        </is>
      </c>
      <c r="E8" s="8" t="n">
        <v>10</v>
      </c>
      <c r="F8" s="36" t="inlineStr">
        <is>
          <t>YES</t>
        </is>
      </c>
    </row>
    <row r="9">
      <c r="A9" s="5" t="n">
        <v>4</v>
      </c>
      <c r="B9" s="4" t="inlineStr">
        <is>
          <t>Master Teacher Profile Priority</t>
        </is>
      </c>
      <c r="C9" s="28" t="n">
        <v>4</v>
      </c>
      <c r="D9" s="35" t="inlineStr">
        <is>
          <t>×1.0</t>
        </is>
      </c>
      <c r="E9" s="8" t="n">
        <v>4</v>
      </c>
      <c r="F9" s="36" t="inlineStr">
        <is>
          <t>YES</t>
        </is>
      </c>
    </row>
    <row r="10">
      <c r="A10" s="5" t="n">
        <v>5</v>
      </c>
      <c r="B10" s="4" t="inlineStr">
        <is>
          <t>Current Year Teacher Assignment Priority</t>
        </is>
      </c>
      <c r="C10" s="25" t="n">
        <v>5</v>
      </c>
      <c r="D10" s="35" t="inlineStr">
        <is>
          <t>×1.5</t>
        </is>
      </c>
      <c r="E10" s="8" t="n">
        <v>7.5</v>
      </c>
      <c r="F10" s="36" t="inlineStr">
        <is>
          <t>YES</t>
        </is>
      </c>
    </row>
    <row r="11">
      <c r="A11" s="5" t="n">
        <v>6</v>
      </c>
      <c r="B11" s="4" t="inlineStr">
        <is>
          <t>Term Lock</t>
        </is>
      </c>
      <c r="C11" s="25" t="n">
        <v>5</v>
      </c>
      <c r="D11" s="35" t="inlineStr">
        <is>
          <t>×2.0</t>
        </is>
      </c>
      <c r="E11" s="8" t="n">
        <v>10</v>
      </c>
      <c r="F11" s="36" t="inlineStr">
        <is>
          <t>YES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29</v>
      </c>
      <c r="D14" s="37" t="inlineStr"/>
      <c r="E14" s="39" t="n">
        <v>44</v>
      </c>
      <c r="F14" s="39" t="n">
        <v>6</v>
      </c>
    </row>
    <row r="16">
      <c r="A16" s="40" t="inlineStr">
        <is>
          <t>CONSTRAINT COUNT</t>
        </is>
      </c>
      <c r="C16" s="41" t="n">
        <v>6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44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4 of 20  |  Constraint Count: 6  |  Weighted Sum: 44.0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47" t="inlineStr"/>
      <c r="C23" s="47" t="inlineStr"/>
      <c r="D23" s="47" t="inlineStr"/>
      <c r="E23" s="47" t="inlineStr"/>
      <c r="F23" s="47" t="inlineStr"/>
      <c r="G23" s="46" t="n">
        <v>5</v>
      </c>
    </row>
    <row r="24">
      <c r="A24" s="46" t="inlineStr">
        <is>
          <t>CYRP</t>
        </is>
      </c>
      <c r="B24" s="47" t="inlineStr"/>
      <c r="C24" s="47" t="inlineStr"/>
      <c r="D24" s="47" t="inlineStr"/>
      <c r="E24" s="47" t="inlineStr"/>
      <c r="F24" s="47" t="inlineStr"/>
      <c r="G24" s="46" t="n">
        <v>5</v>
      </c>
    </row>
    <row r="25">
      <c r="A25" s="46" t="inlineStr">
        <is>
          <t>SSP</t>
        </is>
      </c>
      <c r="B25" s="47" t="inlineStr"/>
      <c r="C25" s="47" t="inlineStr"/>
      <c r="D25" s="47" t="inlineStr"/>
      <c r="E25" s="47" t="inlineStr"/>
      <c r="F25" s="47" t="inlineStr"/>
      <c r="G25" s="46" t="n">
        <v>5</v>
      </c>
    </row>
    <row r="26">
      <c r="A26" s="46" t="inlineStr">
        <is>
          <t>MTP</t>
        </is>
      </c>
      <c r="B26" s="52" t="inlineStr"/>
      <c r="C26" s="52" t="inlineStr"/>
      <c r="D26" s="52" t="inlineStr"/>
      <c r="E26" s="52" t="inlineStr"/>
      <c r="F26" s="51" t="inlineStr"/>
      <c r="G26" s="46" t="n">
        <v>4</v>
      </c>
    </row>
    <row r="27">
      <c r="A27" s="46" t="inlineStr">
        <is>
          <t>CTAP</t>
        </is>
      </c>
      <c r="B27" s="47" t="inlineStr"/>
      <c r="C27" s="47" t="inlineStr"/>
      <c r="D27" s="47" t="inlineStr"/>
      <c r="E27" s="47" t="inlineStr"/>
      <c r="F27" s="47" t="inlineStr"/>
      <c r="G27" s="46" t="n">
        <v>5</v>
      </c>
    </row>
    <row r="28">
      <c r="A28" s="46" t="inlineStr">
        <is>
          <t>TL</t>
        </is>
      </c>
      <c r="B28" s="47" t="inlineStr"/>
      <c r="C28" s="47" t="inlineStr"/>
      <c r="D28" s="47" t="inlineStr"/>
      <c r="E28" s="47" t="inlineStr"/>
      <c r="F28" s="47" t="inlineStr"/>
      <c r="G28" s="46" t="n">
        <v>5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100015</t>
        </is>
      </c>
      <c r="G2" s="2" t="inlineStr">
        <is>
          <t>RANK</t>
        </is>
      </c>
    </row>
    <row r="3">
      <c r="A3" s="33" t="inlineStr">
        <is>
          <t>Freshman, Required Core, Locked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8" t="n">
        <v>4</v>
      </c>
      <c r="D6" s="35" t="inlineStr">
        <is>
          <t>×1.0</t>
        </is>
      </c>
      <c r="E6" s="8" t="n">
        <v>4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28" t="n">
        <v>4</v>
      </c>
      <c r="D7" s="35" t="inlineStr">
        <is>
          <t>×1.5</t>
        </is>
      </c>
      <c r="E7" s="8" t="n">
        <v>6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3</v>
      </c>
      <c r="D9" s="35" t="inlineStr">
        <is>
          <t>×1.0</t>
        </is>
      </c>
      <c r="E9" s="8" t="n">
        <v>3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3</v>
      </c>
      <c r="D10" s="35" t="inlineStr">
        <is>
          <t>×1.5</t>
        </is>
      </c>
      <c r="E10" s="8" t="n">
        <v>4.5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5" t="n">
        <v>5</v>
      </c>
      <c r="D11" s="35" t="inlineStr">
        <is>
          <t>×2.0</t>
        </is>
      </c>
      <c r="E11" s="8" t="n">
        <v>10</v>
      </c>
      <c r="F11" s="36" t="inlineStr">
        <is>
          <t>YES</t>
        </is>
      </c>
    </row>
    <row r="12">
      <c r="A12" s="5" t="n">
        <v>7</v>
      </c>
      <c r="B12" s="4" t="inlineStr">
        <is>
          <t>Period Lock</t>
        </is>
      </c>
      <c r="C12" s="25" t="n">
        <v>5</v>
      </c>
      <c r="D12" s="35" t="inlineStr">
        <is>
          <t>×2.0</t>
        </is>
      </c>
      <c r="E12" s="8" t="n">
        <v>10</v>
      </c>
      <c r="F12" s="36" t="inlineStr">
        <is>
          <t>YES</t>
        </is>
      </c>
    </row>
    <row r="13">
      <c r="A13" s="5" t="n">
        <v>8</v>
      </c>
      <c r="B13" s="4" t="inlineStr">
        <is>
          <t>Room Lock</t>
        </is>
      </c>
      <c r="C13" s="25" t="n">
        <v>5</v>
      </c>
      <c r="D13" s="35" t="inlineStr">
        <is>
          <t>×1.5</t>
        </is>
      </c>
      <c r="E13" s="8" t="n">
        <v>7.5</v>
      </c>
      <c r="F13" s="36" t="inlineStr">
        <is>
          <t>YES</t>
        </is>
      </c>
    </row>
    <row r="14">
      <c r="A14" s="37" t="inlineStr"/>
      <c r="B14" s="38" t="inlineStr">
        <is>
          <t>TOTALS</t>
        </is>
      </c>
      <c r="C14" s="39" t="n">
        <v>30</v>
      </c>
      <c r="D14" s="37" t="inlineStr"/>
      <c r="E14" s="39" t="n">
        <v>47</v>
      </c>
      <c r="F14" s="39" t="n">
        <v>5</v>
      </c>
    </row>
    <row r="16">
      <c r="A16" s="40" t="inlineStr">
        <is>
          <t>CONSTRAINT COUNT</t>
        </is>
      </c>
      <c r="C16" s="53" t="n">
        <v>5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47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5 of 20  |  Constraint Count: 5  |  Weighted Sum: 47.0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2" t="inlineStr"/>
      <c r="C23" s="52" t="inlineStr"/>
      <c r="D23" s="52" t="inlineStr"/>
      <c r="E23" s="52" t="inlineStr"/>
      <c r="F23" s="51" t="inlineStr"/>
      <c r="G23" s="46" t="n">
        <v>4</v>
      </c>
    </row>
    <row r="24">
      <c r="A24" s="46" t="inlineStr">
        <is>
          <t>CYRP</t>
        </is>
      </c>
      <c r="B24" s="52" t="inlineStr"/>
      <c r="C24" s="52" t="inlineStr"/>
      <c r="D24" s="52" t="inlineStr"/>
      <c r="E24" s="52" t="inlineStr"/>
      <c r="F24" s="51" t="inlineStr"/>
      <c r="G24" s="46" t="n">
        <v>4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54" t="inlineStr"/>
      <c r="C26" s="54" t="inlineStr"/>
      <c r="D26" s="54" t="inlineStr"/>
      <c r="E26" s="51" t="inlineStr"/>
      <c r="F26" s="51" t="inlineStr"/>
      <c r="G26" s="46" t="n">
        <v>3</v>
      </c>
    </row>
    <row r="27">
      <c r="A27" s="46" t="inlineStr">
        <is>
          <t>CTAP</t>
        </is>
      </c>
      <c r="B27" s="54" t="inlineStr"/>
      <c r="C27" s="54" t="inlineStr"/>
      <c r="D27" s="54" t="inlineStr"/>
      <c r="E27" s="51" t="inlineStr"/>
      <c r="F27" s="51" t="inlineStr"/>
      <c r="G27" s="46" t="n">
        <v>3</v>
      </c>
    </row>
    <row r="28">
      <c r="A28" s="46" t="inlineStr">
        <is>
          <t>TL</t>
        </is>
      </c>
      <c r="B28" s="47" t="inlineStr"/>
      <c r="C28" s="47" t="inlineStr"/>
      <c r="D28" s="47" t="inlineStr"/>
      <c r="E28" s="47" t="inlineStr"/>
      <c r="F28" s="47" t="inlineStr"/>
      <c r="G28" s="46" t="n">
        <v>5</v>
      </c>
    </row>
    <row r="29">
      <c r="A29" s="46" t="inlineStr">
        <is>
          <t>PL</t>
        </is>
      </c>
      <c r="B29" s="47" t="inlineStr"/>
      <c r="C29" s="47" t="inlineStr"/>
      <c r="D29" s="47" t="inlineStr"/>
      <c r="E29" s="47" t="inlineStr"/>
      <c r="F29" s="47" t="inlineStr"/>
      <c r="G29" s="46" t="n">
        <v>5</v>
      </c>
    </row>
    <row r="30">
      <c r="A30" s="46" t="inlineStr">
        <is>
          <t>RL</t>
        </is>
      </c>
      <c r="B30" s="47" t="inlineStr"/>
      <c r="C30" s="47" t="inlineStr"/>
      <c r="D30" s="47" t="inlineStr"/>
      <c r="E30" s="47" t="inlineStr"/>
      <c r="F30" s="47" t="inlineStr"/>
      <c r="G30" s="46" t="n">
        <v>5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100008</t>
        </is>
      </c>
      <c r="G2" s="2" t="inlineStr">
        <is>
          <t>RANK</t>
        </is>
      </c>
    </row>
    <row r="3">
      <c r="A3" s="33" t="inlineStr">
        <is>
          <t>String Orchestra + Honors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3</v>
      </c>
      <c r="D6" s="35" t="inlineStr">
        <is>
          <t>×1.0</t>
        </is>
      </c>
      <c r="E6" s="8" t="n">
        <v>3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28" t="n">
        <v>4</v>
      </c>
      <c r="D7" s="35" t="inlineStr">
        <is>
          <t>×1.5</t>
        </is>
      </c>
      <c r="E7" s="8" t="n">
        <v>6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28" t="n">
        <v>4</v>
      </c>
      <c r="D8" s="35" t="inlineStr">
        <is>
          <t>×2.0</t>
        </is>
      </c>
      <c r="E8" s="8" t="n">
        <v>8</v>
      </c>
      <c r="F8" s="36" t="inlineStr">
        <is>
          <t>YES</t>
        </is>
      </c>
    </row>
    <row r="9">
      <c r="A9" s="5" t="n">
        <v>4</v>
      </c>
      <c r="B9" s="4" t="inlineStr">
        <is>
          <t>Master Teacher Profile Priority</t>
        </is>
      </c>
      <c r="C9" s="28" t="n">
        <v>4</v>
      </c>
      <c r="D9" s="35" t="inlineStr">
        <is>
          <t>×1.0</t>
        </is>
      </c>
      <c r="E9" s="8" t="n">
        <v>4</v>
      </c>
      <c r="F9" s="36" t="inlineStr">
        <is>
          <t>YES</t>
        </is>
      </c>
    </row>
    <row r="10">
      <c r="A10" s="5" t="n">
        <v>5</v>
      </c>
      <c r="B10" s="4" t="inlineStr">
        <is>
          <t>Current Year Teacher Assignment Priority</t>
        </is>
      </c>
      <c r="C10" s="28" t="n">
        <v>4</v>
      </c>
      <c r="D10" s="35" t="inlineStr">
        <is>
          <t>×1.5</t>
        </is>
      </c>
      <c r="E10" s="8" t="n">
        <v>6</v>
      </c>
      <c r="F10" s="36" t="inlineStr">
        <is>
          <t>YES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5" t="n">
        <v>5</v>
      </c>
      <c r="D12" s="35" t="inlineStr">
        <is>
          <t>×2.0</t>
        </is>
      </c>
      <c r="E12" s="8" t="n">
        <v>10</v>
      </c>
      <c r="F12" s="36" t="inlineStr">
        <is>
          <t>YES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24</v>
      </c>
      <c r="D14" s="37" t="inlineStr"/>
      <c r="E14" s="39" t="n">
        <v>37</v>
      </c>
      <c r="F14" s="39" t="n">
        <v>5</v>
      </c>
    </row>
    <row r="16">
      <c r="A16" s="40" t="inlineStr">
        <is>
          <t>CONSTRAINT COUNT</t>
        </is>
      </c>
      <c r="C16" s="53" t="n">
        <v>5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37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6 of 20  |  Constraint Count: 5  |  Weighted Sum: 37.0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4" t="inlineStr"/>
      <c r="C23" s="54" t="inlineStr"/>
      <c r="D23" s="54" t="inlineStr"/>
      <c r="E23" s="51" t="inlineStr"/>
      <c r="F23" s="51" t="inlineStr"/>
      <c r="G23" s="46" t="n">
        <v>3</v>
      </c>
    </row>
    <row r="24">
      <c r="A24" s="46" t="inlineStr">
        <is>
          <t>CYRP</t>
        </is>
      </c>
      <c r="B24" s="52" t="inlineStr"/>
      <c r="C24" s="52" t="inlineStr"/>
      <c r="D24" s="52" t="inlineStr"/>
      <c r="E24" s="52" t="inlineStr"/>
      <c r="F24" s="51" t="inlineStr"/>
      <c r="G24" s="46" t="n">
        <v>4</v>
      </c>
    </row>
    <row r="25">
      <c r="A25" s="46" t="inlineStr">
        <is>
          <t>SSP</t>
        </is>
      </c>
      <c r="B25" s="52" t="inlineStr"/>
      <c r="C25" s="52" t="inlineStr"/>
      <c r="D25" s="52" t="inlineStr"/>
      <c r="E25" s="52" t="inlineStr"/>
      <c r="F25" s="51" t="inlineStr"/>
      <c r="G25" s="46" t="n">
        <v>4</v>
      </c>
    </row>
    <row r="26">
      <c r="A26" s="46" t="inlineStr">
        <is>
          <t>MTP</t>
        </is>
      </c>
      <c r="B26" s="52" t="inlineStr"/>
      <c r="C26" s="52" t="inlineStr"/>
      <c r="D26" s="52" t="inlineStr"/>
      <c r="E26" s="52" t="inlineStr"/>
      <c r="F26" s="51" t="inlineStr"/>
      <c r="G26" s="46" t="n">
        <v>4</v>
      </c>
    </row>
    <row r="27">
      <c r="A27" s="46" t="inlineStr">
        <is>
          <t>CTAP</t>
        </is>
      </c>
      <c r="B27" s="52" t="inlineStr"/>
      <c r="C27" s="52" t="inlineStr"/>
      <c r="D27" s="52" t="inlineStr"/>
      <c r="E27" s="52" t="inlineStr"/>
      <c r="F27" s="51" t="inlineStr"/>
      <c r="G27" s="46" t="n">
        <v>4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47" t="inlineStr"/>
      <c r="C29" s="47" t="inlineStr"/>
      <c r="D29" s="47" t="inlineStr"/>
      <c r="E29" s="47" t="inlineStr"/>
      <c r="F29" s="47" t="inlineStr"/>
      <c r="G29" s="46" t="n">
        <v>5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100006</t>
        </is>
      </c>
      <c r="G2" s="2" t="inlineStr">
        <is>
          <t>RANK</t>
        </is>
      </c>
    </row>
    <row r="3">
      <c r="A3" s="33" t="inlineStr">
        <is>
          <t>Robotics + Honors, Locked Period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3</v>
      </c>
      <c r="D6" s="35" t="inlineStr">
        <is>
          <t>×1.0</t>
        </is>
      </c>
      <c r="E6" s="8" t="n">
        <v>3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28" t="n">
        <v>4</v>
      </c>
      <c r="D7" s="35" t="inlineStr">
        <is>
          <t>×1.5</t>
        </is>
      </c>
      <c r="E7" s="8" t="n">
        <v>6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28" t="n">
        <v>4</v>
      </c>
      <c r="D8" s="35" t="inlineStr">
        <is>
          <t>×2.0</t>
        </is>
      </c>
      <c r="E8" s="8" t="n">
        <v>8</v>
      </c>
      <c r="F8" s="36" t="inlineStr">
        <is>
          <t>YES</t>
        </is>
      </c>
    </row>
    <row r="9">
      <c r="A9" s="5" t="n">
        <v>4</v>
      </c>
      <c r="B9" s="4" t="inlineStr">
        <is>
          <t>Master Teacher Profile Priority</t>
        </is>
      </c>
      <c r="C9" s="48" t="n">
        <v>3</v>
      </c>
      <c r="D9" s="35" t="inlineStr">
        <is>
          <t>×1.0</t>
        </is>
      </c>
      <c r="E9" s="8" t="n">
        <v>3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3</v>
      </c>
      <c r="D10" s="35" t="inlineStr">
        <is>
          <t>×1.5</t>
        </is>
      </c>
      <c r="E10" s="8" t="n">
        <v>4.5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5" t="n">
        <v>5</v>
      </c>
      <c r="D12" s="35" t="inlineStr">
        <is>
          <t>×2.0</t>
        </is>
      </c>
      <c r="E12" s="8" t="n">
        <v>10</v>
      </c>
      <c r="F12" s="36" t="inlineStr">
        <is>
          <t>YES</t>
        </is>
      </c>
    </row>
    <row r="13">
      <c r="A13" s="5" t="n">
        <v>8</v>
      </c>
      <c r="B13" s="4" t="inlineStr">
        <is>
          <t>Room Lock</t>
        </is>
      </c>
      <c r="C13" s="25" t="n">
        <v>5</v>
      </c>
      <c r="D13" s="35" t="inlineStr">
        <is>
          <t>×1.5</t>
        </is>
      </c>
      <c r="E13" s="8" t="n">
        <v>7.5</v>
      </c>
      <c r="F13" s="36" t="inlineStr">
        <is>
          <t>YES</t>
        </is>
      </c>
    </row>
    <row r="14">
      <c r="A14" s="37" t="inlineStr"/>
      <c r="B14" s="38" t="inlineStr">
        <is>
          <t>TOTALS</t>
        </is>
      </c>
      <c r="C14" s="39" t="n">
        <v>27</v>
      </c>
      <c r="D14" s="37" t="inlineStr"/>
      <c r="E14" s="39" t="n">
        <v>42</v>
      </c>
      <c r="F14" s="39" t="n">
        <v>4</v>
      </c>
    </row>
    <row r="16">
      <c r="A16" s="40" t="inlineStr">
        <is>
          <t>CONSTRAINT COUNT</t>
        </is>
      </c>
      <c r="C16" s="53" t="n">
        <v>4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42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7 of 20  |  Constraint Count: 4  |  Weighted Sum: 42.0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4" t="inlineStr"/>
      <c r="C23" s="54" t="inlineStr"/>
      <c r="D23" s="54" t="inlineStr"/>
      <c r="E23" s="51" t="inlineStr"/>
      <c r="F23" s="51" t="inlineStr"/>
      <c r="G23" s="46" t="n">
        <v>3</v>
      </c>
    </row>
    <row r="24">
      <c r="A24" s="46" t="inlineStr">
        <is>
          <t>CYRP</t>
        </is>
      </c>
      <c r="B24" s="52" t="inlineStr"/>
      <c r="C24" s="52" t="inlineStr"/>
      <c r="D24" s="52" t="inlineStr"/>
      <c r="E24" s="52" t="inlineStr"/>
      <c r="F24" s="51" t="inlineStr"/>
      <c r="G24" s="46" t="n">
        <v>4</v>
      </c>
    </row>
    <row r="25">
      <c r="A25" s="46" t="inlineStr">
        <is>
          <t>SSP</t>
        </is>
      </c>
      <c r="B25" s="52" t="inlineStr"/>
      <c r="C25" s="52" t="inlineStr"/>
      <c r="D25" s="52" t="inlineStr"/>
      <c r="E25" s="52" t="inlineStr"/>
      <c r="F25" s="51" t="inlineStr"/>
      <c r="G25" s="46" t="n">
        <v>4</v>
      </c>
    </row>
    <row r="26">
      <c r="A26" s="46" t="inlineStr">
        <is>
          <t>MTP</t>
        </is>
      </c>
      <c r="B26" s="54" t="inlineStr"/>
      <c r="C26" s="54" t="inlineStr"/>
      <c r="D26" s="54" t="inlineStr"/>
      <c r="E26" s="51" t="inlineStr"/>
      <c r="F26" s="51" t="inlineStr"/>
      <c r="G26" s="46" t="n">
        <v>3</v>
      </c>
    </row>
    <row r="27">
      <c r="A27" s="46" t="inlineStr">
        <is>
          <t>CTAP</t>
        </is>
      </c>
      <c r="B27" s="54" t="inlineStr"/>
      <c r="C27" s="54" t="inlineStr"/>
      <c r="D27" s="54" t="inlineStr"/>
      <c r="E27" s="51" t="inlineStr"/>
      <c r="F27" s="51" t="inlineStr"/>
      <c r="G27" s="46" t="n">
        <v>3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47" t="inlineStr"/>
      <c r="C29" s="47" t="inlineStr"/>
      <c r="D29" s="47" t="inlineStr"/>
      <c r="E29" s="47" t="inlineStr"/>
      <c r="F29" s="47" t="inlineStr"/>
      <c r="G29" s="46" t="n">
        <v>5</v>
      </c>
    </row>
    <row r="30">
      <c r="A30" s="46" t="inlineStr">
        <is>
          <t>RL</t>
        </is>
      </c>
      <c r="B30" s="47" t="inlineStr"/>
      <c r="C30" s="47" t="inlineStr"/>
      <c r="D30" s="47" t="inlineStr"/>
      <c r="E30" s="47" t="inlineStr"/>
      <c r="F30" s="47" t="inlineStr"/>
      <c r="G30" s="46" t="n">
        <v>5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100005</t>
        </is>
      </c>
      <c r="G2" s="2" t="inlineStr">
        <is>
          <t>RANK</t>
        </is>
      </c>
    </row>
    <row r="3">
      <c r="A3" s="33" t="inlineStr">
        <is>
          <t>AP Student, Not LEO, Flexible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5" t="n">
        <v>5</v>
      </c>
      <c r="D6" s="35" t="inlineStr">
        <is>
          <t>×1.0</t>
        </is>
      </c>
      <c r="E6" s="8" t="n">
        <v>5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25" t="n">
        <v>5</v>
      </c>
      <c r="D7" s="35" t="inlineStr">
        <is>
          <t>×1.5</t>
        </is>
      </c>
      <c r="E7" s="8" t="n">
        <v>7.5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28" t="n">
        <v>4</v>
      </c>
      <c r="D9" s="35" t="inlineStr">
        <is>
          <t>×1.0</t>
        </is>
      </c>
      <c r="E9" s="8" t="n">
        <v>4</v>
      </c>
      <c r="F9" s="36" t="inlineStr">
        <is>
          <t>YES</t>
        </is>
      </c>
    </row>
    <row r="10">
      <c r="A10" s="5" t="n">
        <v>5</v>
      </c>
      <c r="B10" s="4" t="inlineStr">
        <is>
          <t>Current Year Teacher Assignment Priority</t>
        </is>
      </c>
      <c r="C10" s="28" t="n">
        <v>4</v>
      </c>
      <c r="D10" s="35" t="inlineStr">
        <is>
          <t>×1.5</t>
        </is>
      </c>
      <c r="E10" s="8" t="n">
        <v>6</v>
      </c>
      <c r="F10" s="36" t="inlineStr">
        <is>
          <t>YES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19</v>
      </c>
      <c r="D14" s="37" t="inlineStr"/>
      <c r="E14" s="39" t="n">
        <v>24.5</v>
      </c>
      <c r="F14" s="39" t="n">
        <v>4</v>
      </c>
    </row>
    <row r="16">
      <c r="A16" s="40" t="inlineStr">
        <is>
          <t>CONSTRAINT COUNT</t>
        </is>
      </c>
      <c r="C16" s="53" t="n">
        <v>4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24.5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8 of 20  |  Constraint Count: 4  |  Weighted Sum: 24.5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47" t="inlineStr"/>
      <c r="C23" s="47" t="inlineStr"/>
      <c r="D23" s="47" t="inlineStr"/>
      <c r="E23" s="47" t="inlineStr"/>
      <c r="F23" s="47" t="inlineStr"/>
      <c r="G23" s="46" t="n">
        <v>5</v>
      </c>
    </row>
    <row r="24">
      <c r="A24" s="46" t="inlineStr">
        <is>
          <t>CYRP</t>
        </is>
      </c>
      <c r="B24" s="47" t="inlineStr"/>
      <c r="C24" s="47" t="inlineStr"/>
      <c r="D24" s="47" t="inlineStr"/>
      <c r="E24" s="47" t="inlineStr"/>
      <c r="F24" s="47" t="inlineStr"/>
      <c r="G24" s="46" t="n">
        <v>5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52" t="inlineStr"/>
      <c r="C26" s="52" t="inlineStr"/>
      <c r="D26" s="52" t="inlineStr"/>
      <c r="E26" s="52" t="inlineStr"/>
      <c r="F26" s="51" t="inlineStr"/>
      <c r="G26" s="46" t="n">
        <v>4</v>
      </c>
    </row>
    <row r="27">
      <c r="A27" s="46" t="inlineStr">
        <is>
          <t>CTAP</t>
        </is>
      </c>
      <c r="B27" s="52" t="inlineStr"/>
      <c r="C27" s="52" t="inlineStr"/>
      <c r="D27" s="52" t="inlineStr"/>
      <c r="E27" s="52" t="inlineStr"/>
      <c r="F27" s="51" t="inlineStr"/>
      <c r="G27" s="46" t="n">
        <v>4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100011</t>
        </is>
      </c>
      <c r="G2" s="2" t="inlineStr">
        <is>
          <t>RANK</t>
        </is>
      </c>
    </row>
    <row r="3">
      <c r="A3" s="33" t="inlineStr">
        <is>
          <t>Junior, Honors Sequence, Locked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3</v>
      </c>
      <c r="D6" s="35" t="inlineStr">
        <is>
          <t>×1.0</t>
        </is>
      </c>
      <c r="E6" s="8" t="n">
        <v>3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3</v>
      </c>
      <c r="D7" s="35" t="inlineStr">
        <is>
          <t>×1.5</t>
        </is>
      </c>
      <c r="E7" s="8" t="n">
        <v>4.5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2</v>
      </c>
      <c r="D8" s="35" t="inlineStr">
        <is>
          <t>×2.0</t>
        </is>
      </c>
      <c r="E8" s="8" t="n">
        <v>4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3</v>
      </c>
      <c r="D9" s="35" t="inlineStr">
        <is>
          <t>×1.0</t>
        </is>
      </c>
      <c r="E9" s="8" t="n">
        <v>3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28" t="n">
        <v>4</v>
      </c>
      <c r="D10" s="35" t="inlineStr">
        <is>
          <t>×1.5</t>
        </is>
      </c>
      <c r="E10" s="8" t="n">
        <v>6</v>
      </c>
      <c r="F10" s="36" t="inlineStr">
        <is>
          <t>YES</t>
        </is>
      </c>
    </row>
    <row r="11">
      <c r="A11" s="5" t="n">
        <v>6</v>
      </c>
      <c r="B11" s="4" t="inlineStr">
        <is>
          <t>Term Lock</t>
        </is>
      </c>
      <c r="C11" s="25" t="n">
        <v>5</v>
      </c>
      <c r="D11" s="35" t="inlineStr">
        <is>
          <t>×2.0</t>
        </is>
      </c>
      <c r="E11" s="8" t="n">
        <v>10</v>
      </c>
      <c r="F11" s="36" t="inlineStr">
        <is>
          <t>YES</t>
        </is>
      </c>
    </row>
    <row r="12">
      <c r="A12" s="5" t="n">
        <v>7</v>
      </c>
      <c r="B12" s="4" t="inlineStr">
        <is>
          <t>Period Lock</t>
        </is>
      </c>
      <c r="C12" s="25" t="n">
        <v>5</v>
      </c>
      <c r="D12" s="35" t="inlineStr">
        <is>
          <t>×2.0</t>
        </is>
      </c>
      <c r="E12" s="8" t="n">
        <v>10</v>
      </c>
      <c r="F12" s="36" t="inlineStr">
        <is>
          <t>YES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25</v>
      </c>
      <c r="D14" s="37" t="inlineStr"/>
      <c r="E14" s="39" t="n">
        <v>40.5</v>
      </c>
      <c r="F14" s="39" t="n">
        <v>3</v>
      </c>
    </row>
    <row r="16">
      <c r="A16" s="40" t="inlineStr">
        <is>
          <t>CONSTRAINT COUNT</t>
        </is>
      </c>
      <c r="C16" s="55" t="n">
        <v>3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40.5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9 of 20  |  Constraint Count: 3  |  Weighted Sum: 40.5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4" t="inlineStr"/>
      <c r="C23" s="54" t="inlineStr"/>
      <c r="D23" s="54" t="inlineStr"/>
      <c r="E23" s="51" t="inlineStr"/>
      <c r="F23" s="51" t="inlineStr"/>
      <c r="G23" s="46" t="n">
        <v>3</v>
      </c>
    </row>
    <row r="24">
      <c r="A24" s="46" t="inlineStr">
        <is>
          <t>CYRP</t>
        </is>
      </c>
      <c r="B24" s="54" t="inlineStr"/>
      <c r="C24" s="54" t="inlineStr"/>
      <c r="D24" s="54" t="inlineStr"/>
      <c r="E24" s="51" t="inlineStr"/>
      <c r="F24" s="51" t="inlineStr"/>
      <c r="G24" s="46" t="n">
        <v>3</v>
      </c>
    </row>
    <row r="25">
      <c r="A25" s="46" t="inlineStr">
        <is>
          <t>SSP</t>
        </is>
      </c>
      <c r="B25" s="54" t="inlineStr"/>
      <c r="C25" s="54" t="inlineStr"/>
      <c r="D25" s="51" t="inlineStr"/>
      <c r="E25" s="51" t="inlineStr"/>
      <c r="F25" s="51" t="inlineStr"/>
      <c r="G25" s="46" t="n">
        <v>2</v>
      </c>
    </row>
    <row r="26">
      <c r="A26" s="46" t="inlineStr">
        <is>
          <t>MTP</t>
        </is>
      </c>
      <c r="B26" s="54" t="inlineStr"/>
      <c r="C26" s="54" t="inlineStr"/>
      <c r="D26" s="54" t="inlineStr"/>
      <c r="E26" s="51" t="inlineStr"/>
      <c r="F26" s="51" t="inlineStr"/>
      <c r="G26" s="46" t="n">
        <v>3</v>
      </c>
    </row>
    <row r="27">
      <c r="A27" s="46" t="inlineStr">
        <is>
          <t>CTAP</t>
        </is>
      </c>
      <c r="B27" s="52" t="inlineStr"/>
      <c r="C27" s="52" t="inlineStr"/>
      <c r="D27" s="52" t="inlineStr"/>
      <c r="E27" s="52" t="inlineStr"/>
      <c r="F27" s="51" t="inlineStr"/>
      <c r="G27" s="46" t="n">
        <v>4</v>
      </c>
    </row>
    <row r="28">
      <c r="A28" s="46" t="inlineStr">
        <is>
          <t>TL</t>
        </is>
      </c>
      <c r="B28" s="47" t="inlineStr"/>
      <c r="C28" s="47" t="inlineStr"/>
      <c r="D28" s="47" t="inlineStr"/>
      <c r="E28" s="47" t="inlineStr"/>
      <c r="F28" s="47" t="inlineStr"/>
      <c r="G28" s="46" t="n">
        <v>5</v>
      </c>
    </row>
    <row r="29">
      <c r="A29" s="46" t="inlineStr">
        <is>
          <t>PL</t>
        </is>
      </c>
      <c r="B29" s="47" t="inlineStr"/>
      <c r="C29" s="47" t="inlineStr"/>
      <c r="D29" s="47" t="inlineStr"/>
      <c r="E29" s="47" t="inlineStr"/>
      <c r="F29" s="47" t="inlineStr"/>
      <c r="G29" s="46" t="n">
        <v>5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100009</t>
        </is>
      </c>
      <c r="G2" s="2" t="inlineStr">
        <is>
          <t>RANK</t>
        </is>
      </c>
    </row>
    <row r="3">
      <c r="A3" s="33" t="inlineStr">
        <is>
          <t>Senior, Required Core, Locked Term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8" t="n">
        <v>4</v>
      </c>
      <c r="D6" s="35" t="inlineStr">
        <is>
          <t>×1.0</t>
        </is>
      </c>
      <c r="E6" s="8" t="n">
        <v>4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28" t="n">
        <v>4</v>
      </c>
      <c r="D7" s="35" t="inlineStr">
        <is>
          <t>×1.5</t>
        </is>
      </c>
      <c r="E7" s="8" t="n">
        <v>6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48" t="n">
        <v>2</v>
      </c>
      <c r="D8" s="35" t="inlineStr">
        <is>
          <t>×2.0</t>
        </is>
      </c>
      <c r="E8" s="8" t="n">
        <v>4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3</v>
      </c>
      <c r="D9" s="35" t="inlineStr">
        <is>
          <t>×1.0</t>
        </is>
      </c>
      <c r="E9" s="8" t="n">
        <v>3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3</v>
      </c>
      <c r="D10" s="35" t="inlineStr">
        <is>
          <t>×1.5</t>
        </is>
      </c>
      <c r="E10" s="8" t="n">
        <v>4.5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5" t="n">
        <v>5</v>
      </c>
      <c r="D11" s="35" t="inlineStr">
        <is>
          <t>×2.0</t>
        </is>
      </c>
      <c r="E11" s="8" t="n">
        <v>10</v>
      </c>
      <c r="F11" s="36" t="inlineStr">
        <is>
          <t>YES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21</v>
      </c>
      <c r="D14" s="37" t="inlineStr"/>
      <c r="E14" s="39" t="n">
        <v>31.5</v>
      </c>
      <c r="F14" s="39" t="n">
        <v>3</v>
      </c>
    </row>
    <row r="16">
      <c r="A16" s="40" t="inlineStr">
        <is>
          <t>CONSTRAINT COUNT</t>
        </is>
      </c>
      <c r="C16" s="55" t="n">
        <v>3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31.5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10 of 20  |  Constraint Count: 3  |  Weighted Sum: 31.5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2" t="inlineStr"/>
      <c r="C23" s="52" t="inlineStr"/>
      <c r="D23" s="52" t="inlineStr"/>
      <c r="E23" s="52" t="inlineStr"/>
      <c r="F23" s="51" t="inlineStr"/>
      <c r="G23" s="46" t="n">
        <v>4</v>
      </c>
    </row>
    <row r="24">
      <c r="A24" s="46" t="inlineStr">
        <is>
          <t>CYRP</t>
        </is>
      </c>
      <c r="B24" s="52" t="inlineStr"/>
      <c r="C24" s="52" t="inlineStr"/>
      <c r="D24" s="52" t="inlineStr"/>
      <c r="E24" s="52" t="inlineStr"/>
      <c r="F24" s="51" t="inlineStr"/>
      <c r="G24" s="46" t="n">
        <v>4</v>
      </c>
    </row>
    <row r="25">
      <c r="A25" s="46" t="inlineStr">
        <is>
          <t>SSP</t>
        </is>
      </c>
      <c r="B25" s="54" t="inlineStr"/>
      <c r="C25" s="54" t="inlineStr"/>
      <c r="D25" s="51" t="inlineStr"/>
      <c r="E25" s="51" t="inlineStr"/>
      <c r="F25" s="51" t="inlineStr"/>
      <c r="G25" s="46" t="n">
        <v>2</v>
      </c>
    </row>
    <row r="26">
      <c r="A26" s="46" t="inlineStr">
        <is>
          <t>MTP</t>
        </is>
      </c>
      <c r="B26" s="54" t="inlineStr"/>
      <c r="C26" s="54" t="inlineStr"/>
      <c r="D26" s="54" t="inlineStr"/>
      <c r="E26" s="51" t="inlineStr"/>
      <c r="F26" s="51" t="inlineStr"/>
      <c r="G26" s="46" t="n">
        <v>3</v>
      </c>
    </row>
    <row r="27">
      <c r="A27" s="46" t="inlineStr">
        <is>
          <t>CTAP</t>
        </is>
      </c>
      <c r="B27" s="54" t="inlineStr"/>
      <c r="C27" s="54" t="inlineStr"/>
      <c r="D27" s="54" t="inlineStr"/>
      <c r="E27" s="51" t="inlineStr"/>
      <c r="F27" s="51" t="inlineStr"/>
      <c r="G27" s="46" t="n">
        <v>3</v>
      </c>
    </row>
    <row r="28">
      <c r="A28" s="46" t="inlineStr">
        <is>
          <t>TL</t>
        </is>
      </c>
      <c r="B28" s="47" t="inlineStr"/>
      <c r="C28" s="47" t="inlineStr"/>
      <c r="D28" s="47" t="inlineStr"/>
      <c r="E28" s="47" t="inlineStr"/>
      <c r="F28" s="47" t="inlineStr"/>
      <c r="G28" s="46" t="n">
        <v>5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100003</t>
        </is>
      </c>
      <c r="G2" s="2" t="inlineStr">
        <is>
          <t>RANK</t>
        </is>
      </c>
    </row>
    <row r="3">
      <c r="A3" s="33" t="inlineStr">
        <is>
          <t>LEO + Honors Sequence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3</v>
      </c>
      <c r="D6" s="35" t="inlineStr">
        <is>
          <t>×1.0</t>
        </is>
      </c>
      <c r="E6" s="8" t="n">
        <v>3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28" t="n">
        <v>4</v>
      </c>
      <c r="D7" s="35" t="inlineStr">
        <is>
          <t>×1.5</t>
        </is>
      </c>
      <c r="E7" s="8" t="n">
        <v>6</v>
      </c>
      <c r="F7" s="36" t="inlineStr">
        <is>
          <t>YES</t>
        </is>
      </c>
    </row>
    <row r="8">
      <c r="A8" s="5" t="n">
        <v>3</v>
      </c>
      <c r="B8" s="4" t="inlineStr">
        <is>
          <t>Student Scheduling Priority</t>
        </is>
      </c>
      <c r="C8" s="25" t="n">
        <v>5</v>
      </c>
      <c r="D8" s="35" t="inlineStr">
        <is>
          <t>×2.0</t>
        </is>
      </c>
      <c r="E8" s="8" t="n">
        <v>10</v>
      </c>
      <c r="F8" s="36" t="inlineStr">
        <is>
          <t>YES</t>
        </is>
      </c>
    </row>
    <row r="9">
      <c r="A9" s="5" t="n">
        <v>4</v>
      </c>
      <c r="B9" s="4" t="inlineStr">
        <is>
          <t>Master Teacher Profile Priority</t>
        </is>
      </c>
      <c r="C9" s="48" t="n">
        <v>3</v>
      </c>
      <c r="D9" s="35" t="inlineStr">
        <is>
          <t>×1.0</t>
        </is>
      </c>
      <c r="E9" s="8" t="n">
        <v>3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3</v>
      </c>
      <c r="D10" s="35" t="inlineStr">
        <is>
          <t>×1.5</t>
        </is>
      </c>
      <c r="E10" s="8" t="n">
        <v>4.5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18</v>
      </c>
      <c r="D14" s="37" t="inlineStr"/>
      <c r="E14" s="39" t="n">
        <v>26.5</v>
      </c>
      <c r="F14" s="39" t="n">
        <v>2</v>
      </c>
    </row>
    <row r="16">
      <c r="A16" s="40" t="inlineStr">
        <is>
          <t>CONSTRAINT COUNT</t>
        </is>
      </c>
      <c r="C16" s="55" t="n">
        <v>2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26.5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11 of 20  |  Constraint Count: 2  |  Weighted Sum: 26.5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4" t="inlineStr"/>
      <c r="C23" s="54" t="inlineStr"/>
      <c r="D23" s="54" t="inlineStr"/>
      <c r="E23" s="51" t="inlineStr"/>
      <c r="F23" s="51" t="inlineStr"/>
      <c r="G23" s="46" t="n">
        <v>3</v>
      </c>
    </row>
    <row r="24">
      <c r="A24" s="46" t="inlineStr">
        <is>
          <t>CYRP</t>
        </is>
      </c>
      <c r="B24" s="52" t="inlineStr"/>
      <c r="C24" s="52" t="inlineStr"/>
      <c r="D24" s="52" t="inlineStr"/>
      <c r="E24" s="52" t="inlineStr"/>
      <c r="F24" s="51" t="inlineStr"/>
      <c r="G24" s="46" t="n">
        <v>4</v>
      </c>
    </row>
    <row r="25">
      <c r="A25" s="46" t="inlineStr">
        <is>
          <t>SSP</t>
        </is>
      </c>
      <c r="B25" s="47" t="inlineStr"/>
      <c r="C25" s="47" t="inlineStr"/>
      <c r="D25" s="47" t="inlineStr"/>
      <c r="E25" s="47" t="inlineStr"/>
      <c r="F25" s="47" t="inlineStr"/>
      <c r="G25" s="46" t="n">
        <v>5</v>
      </c>
    </row>
    <row r="26">
      <c r="A26" s="46" t="inlineStr">
        <is>
          <t>MTP</t>
        </is>
      </c>
      <c r="B26" s="54" t="inlineStr"/>
      <c r="C26" s="54" t="inlineStr"/>
      <c r="D26" s="54" t="inlineStr"/>
      <c r="E26" s="51" t="inlineStr"/>
      <c r="F26" s="51" t="inlineStr"/>
      <c r="G26" s="46" t="n">
        <v>3</v>
      </c>
    </row>
    <row r="27">
      <c r="A27" s="46" t="inlineStr">
        <is>
          <t>CTAP</t>
        </is>
      </c>
      <c r="B27" s="54" t="inlineStr"/>
      <c r="C27" s="54" t="inlineStr"/>
      <c r="D27" s="54" t="inlineStr"/>
      <c r="E27" s="51" t="inlineStr"/>
      <c r="F27" s="51" t="inlineStr"/>
      <c r="G27" s="46" t="n">
        <v>3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100007</t>
        </is>
      </c>
      <c r="G2" s="2" t="inlineStr">
        <is>
          <t>RANK</t>
        </is>
      </c>
    </row>
    <row r="3">
      <c r="A3" s="33" t="inlineStr">
        <is>
          <t>Robotics + Core Required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8" t="n">
        <v>4</v>
      </c>
      <c r="D6" s="35" t="inlineStr">
        <is>
          <t>×1.0</t>
        </is>
      </c>
      <c r="E6" s="8" t="n">
        <v>4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3</v>
      </c>
      <c r="D7" s="35" t="inlineStr">
        <is>
          <t>×1.5</t>
        </is>
      </c>
      <c r="E7" s="8" t="n">
        <v>4.5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28" t="n">
        <v>4</v>
      </c>
      <c r="D8" s="35" t="inlineStr">
        <is>
          <t>×2.0</t>
        </is>
      </c>
      <c r="E8" s="8" t="n">
        <v>8</v>
      </c>
      <c r="F8" s="36" t="inlineStr">
        <is>
          <t>YES</t>
        </is>
      </c>
    </row>
    <row r="9">
      <c r="A9" s="5" t="n">
        <v>4</v>
      </c>
      <c r="B9" s="4" t="inlineStr">
        <is>
          <t>Master Teacher Profile Priority</t>
        </is>
      </c>
      <c r="C9" s="48" t="n">
        <v>2</v>
      </c>
      <c r="D9" s="35" t="inlineStr">
        <is>
          <t>×1.0</t>
        </is>
      </c>
      <c r="E9" s="8" t="n">
        <v>2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2</v>
      </c>
      <c r="D10" s="35" t="inlineStr">
        <is>
          <t>×1.5</t>
        </is>
      </c>
      <c r="E10" s="8" t="n">
        <v>3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15</v>
      </c>
      <c r="D14" s="37" t="inlineStr"/>
      <c r="E14" s="39" t="n">
        <v>21.5</v>
      </c>
      <c r="F14" s="39" t="n">
        <v>2</v>
      </c>
    </row>
    <row r="16">
      <c r="A16" s="40" t="inlineStr">
        <is>
          <t>CONSTRAINT COUNT</t>
        </is>
      </c>
      <c r="C16" s="55" t="n">
        <v>2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21.5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12 of 20  |  Constraint Count: 2  |  Weighted Sum: 21.5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2" t="inlineStr"/>
      <c r="C23" s="52" t="inlineStr"/>
      <c r="D23" s="52" t="inlineStr"/>
      <c r="E23" s="52" t="inlineStr"/>
      <c r="F23" s="51" t="inlineStr"/>
      <c r="G23" s="46" t="n">
        <v>4</v>
      </c>
    </row>
    <row r="24">
      <c r="A24" s="46" t="inlineStr">
        <is>
          <t>CYRP</t>
        </is>
      </c>
      <c r="B24" s="54" t="inlineStr"/>
      <c r="C24" s="54" t="inlineStr"/>
      <c r="D24" s="54" t="inlineStr"/>
      <c r="E24" s="51" t="inlineStr"/>
      <c r="F24" s="51" t="inlineStr"/>
      <c r="G24" s="46" t="n">
        <v>3</v>
      </c>
    </row>
    <row r="25">
      <c r="A25" s="46" t="inlineStr">
        <is>
          <t>SSP</t>
        </is>
      </c>
      <c r="B25" s="52" t="inlineStr"/>
      <c r="C25" s="52" t="inlineStr"/>
      <c r="D25" s="52" t="inlineStr"/>
      <c r="E25" s="52" t="inlineStr"/>
      <c r="F25" s="51" t="inlineStr"/>
      <c r="G25" s="46" t="n">
        <v>4</v>
      </c>
    </row>
    <row r="26">
      <c r="A26" s="46" t="inlineStr">
        <is>
          <t>MTP</t>
        </is>
      </c>
      <c r="B26" s="54" t="inlineStr"/>
      <c r="C26" s="54" t="inlineStr"/>
      <c r="D26" s="51" t="inlineStr"/>
      <c r="E26" s="51" t="inlineStr"/>
      <c r="F26" s="51" t="inlineStr"/>
      <c r="G26" s="46" t="n">
        <v>2</v>
      </c>
    </row>
    <row r="27">
      <c r="A27" s="46" t="inlineStr">
        <is>
          <t>CTAP</t>
        </is>
      </c>
      <c r="B27" s="54" t="inlineStr"/>
      <c r="C27" s="54" t="inlineStr"/>
      <c r="D27" s="51" t="inlineStr"/>
      <c r="E27" s="51" t="inlineStr"/>
      <c r="F27" s="51" t="inlineStr"/>
      <c r="G27" s="46" t="n">
        <v>2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100017</t>
        </is>
      </c>
      <c r="G2" s="2" t="inlineStr">
        <is>
          <t>RANK</t>
        </is>
      </c>
    </row>
    <row r="3">
      <c r="A3" s="33" t="inlineStr">
        <is>
          <t>LEO + Departmental Core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2</v>
      </c>
      <c r="D6" s="35" t="inlineStr">
        <is>
          <t>×1.0</t>
        </is>
      </c>
      <c r="E6" s="8" t="n">
        <v>2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3</v>
      </c>
      <c r="D7" s="35" t="inlineStr">
        <is>
          <t>×1.5</t>
        </is>
      </c>
      <c r="E7" s="8" t="n">
        <v>4.5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25" t="n">
        <v>5</v>
      </c>
      <c r="D8" s="35" t="inlineStr">
        <is>
          <t>×2.0</t>
        </is>
      </c>
      <c r="E8" s="8" t="n">
        <v>10</v>
      </c>
      <c r="F8" s="36" t="inlineStr">
        <is>
          <t>YES</t>
        </is>
      </c>
    </row>
    <row r="9">
      <c r="A9" s="5" t="n">
        <v>4</v>
      </c>
      <c r="B9" s="4" t="inlineStr">
        <is>
          <t>Master Teacher Profile Priority</t>
        </is>
      </c>
      <c r="C9" s="48" t="n">
        <v>2</v>
      </c>
      <c r="D9" s="35" t="inlineStr">
        <is>
          <t>×1.0</t>
        </is>
      </c>
      <c r="E9" s="8" t="n">
        <v>2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2</v>
      </c>
      <c r="D10" s="35" t="inlineStr">
        <is>
          <t>×1.5</t>
        </is>
      </c>
      <c r="E10" s="8" t="n">
        <v>3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14</v>
      </c>
      <c r="D14" s="37" t="inlineStr"/>
      <c r="E14" s="39" t="n">
        <v>21.5</v>
      </c>
      <c r="F14" s="39" t="n">
        <v>1</v>
      </c>
    </row>
    <row r="16">
      <c r="A16" s="40" t="inlineStr">
        <is>
          <t>CONSTRAINT COUNT</t>
        </is>
      </c>
      <c r="C16" s="55" t="n">
        <v>1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21.5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13 of 20  |  Constraint Count: 1  |  Weighted Sum: 21.5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4" t="inlineStr"/>
      <c r="C23" s="54" t="inlineStr"/>
      <c r="D23" s="51" t="inlineStr"/>
      <c r="E23" s="51" t="inlineStr"/>
      <c r="F23" s="51" t="inlineStr"/>
      <c r="G23" s="46" t="n">
        <v>2</v>
      </c>
    </row>
    <row r="24">
      <c r="A24" s="46" t="inlineStr">
        <is>
          <t>CYRP</t>
        </is>
      </c>
      <c r="B24" s="54" t="inlineStr"/>
      <c r="C24" s="54" t="inlineStr"/>
      <c r="D24" s="54" t="inlineStr"/>
      <c r="E24" s="51" t="inlineStr"/>
      <c r="F24" s="51" t="inlineStr"/>
      <c r="G24" s="46" t="n">
        <v>3</v>
      </c>
    </row>
    <row r="25">
      <c r="A25" s="46" t="inlineStr">
        <is>
          <t>SSP</t>
        </is>
      </c>
      <c r="B25" s="47" t="inlineStr"/>
      <c r="C25" s="47" t="inlineStr"/>
      <c r="D25" s="47" t="inlineStr"/>
      <c r="E25" s="47" t="inlineStr"/>
      <c r="F25" s="47" t="inlineStr"/>
      <c r="G25" s="46" t="n">
        <v>5</v>
      </c>
    </row>
    <row r="26">
      <c r="A26" s="46" t="inlineStr">
        <is>
          <t>MTP</t>
        </is>
      </c>
      <c r="B26" s="54" t="inlineStr"/>
      <c r="C26" s="54" t="inlineStr"/>
      <c r="D26" s="51" t="inlineStr"/>
      <c r="E26" s="51" t="inlineStr"/>
      <c r="F26" s="51" t="inlineStr"/>
      <c r="G26" s="46" t="n">
        <v>2</v>
      </c>
    </row>
    <row r="27">
      <c r="A27" s="46" t="inlineStr">
        <is>
          <t>CTAP</t>
        </is>
      </c>
      <c r="B27" s="54" t="inlineStr"/>
      <c r="C27" s="54" t="inlineStr"/>
      <c r="D27" s="51" t="inlineStr"/>
      <c r="E27" s="51" t="inlineStr"/>
      <c r="F27" s="51" t="inlineStr"/>
      <c r="G27" s="46" t="n">
        <v>2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100013</t>
        </is>
      </c>
      <c r="G2" s="2" t="inlineStr">
        <is>
          <t>RANK</t>
        </is>
      </c>
    </row>
    <row r="3">
      <c r="A3" s="33" t="inlineStr">
        <is>
          <t>Sophomore, Required Core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8" t="n">
        <v>4</v>
      </c>
      <c r="D6" s="35" t="inlineStr">
        <is>
          <t>×1.0</t>
        </is>
      </c>
      <c r="E6" s="8" t="n">
        <v>4</v>
      </c>
      <c r="F6" s="36" t="inlineStr">
        <is>
          <t>YES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3</v>
      </c>
      <c r="D7" s="35" t="inlineStr">
        <is>
          <t>×1.5</t>
        </is>
      </c>
      <c r="E7" s="8" t="n">
        <v>4.5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2</v>
      </c>
      <c r="D9" s="35" t="inlineStr">
        <is>
          <t>×1.0</t>
        </is>
      </c>
      <c r="E9" s="8" t="n">
        <v>2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2</v>
      </c>
      <c r="D10" s="35" t="inlineStr">
        <is>
          <t>×1.5</t>
        </is>
      </c>
      <c r="E10" s="8" t="n">
        <v>3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12</v>
      </c>
      <c r="D14" s="37" t="inlineStr"/>
      <c r="E14" s="39" t="n">
        <v>15.5</v>
      </c>
      <c r="F14" s="39" t="n">
        <v>1</v>
      </c>
    </row>
    <row r="16">
      <c r="A16" s="40" t="inlineStr">
        <is>
          <t>CONSTRAINT COUNT</t>
        </is>
      </c>
      <c r="C16" s="55" t="n">
        <v>1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15.5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14 of 20  |  Constraint Count: 1  |  Weighted Sum: 15.5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2" t="inlineStr"/>
      <c r="C23" s="52" t="inlineStr"/>
      <c r="D23" s="52" t="inlineStr"/>
      <c r="E23" s="52" t="inlineStr"/>
      <c r="F23" s="51" t="inlineStr"/>
      <c r="G23" s="46" t="n">
        <v>4</v>
      </c>
    </row>
    <row r="24">
      <c r="A24" s="46" t="inlineStr">
        <is>
          <t>CYRP</t>
        </is>
      </c>
      <c r="B24" s="54" t="inlineStr"/>
      <c r="C24" s="54" t="inlineStr"/>
      <c r="D24" s="54" t="inlineStr"/>
      <c r="E24" s="51" t="inlineStr"/>
      <c r="F24" s="51" t="inlineStr"/>
      <c r="G24" s="46" t="n">
        <v>3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54" t="inlineStr"/>
      <c r="C26" s="54" t="inlineStr"/>
      <c r="D26" s="51" t="inlineStr"/>
      <c r="E26" s="51" t="inlineStr"/>
      <c r="F26" s="51" t="inlineStr"/>
      <c r="G26" s="46" t="n">
        <v>2</v>
      </c>
    </row>
    <row r="27">
      <c r="A27" s="46" t="inlineStr">
        <is>
          <t>CTAP</t>
        </is>
      </c>
      <c r="B27" s="54" t="inlineStr"/>
      <c r="C27" s="54" t="inlineStr"/>
      <c r="D27" s="51" t="inlineStr"/>
      <c r="E27" s="51" t="inlineStr"/>
      <c r="F27" s="51" t="inlineStr"/>
      <c r="G27" s="46" t="n">
        <v>2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100019</t>
        </is>
      </c>
      <c r="G2" s="2" t="inlineStr">
        <is>
          <t>RANK</t>
        </is>
      </c>
    </row>
    <row r="3">
      <c r="A3" s="33" t="inlineStr">
        <is>
          <t>Honors, Flexible Everything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3</v>
      </c>
      <c r="D6" s="35" t="inlineStr">
        <is>
          <t>×1.0</t>
        </is>
      </c>
      <c r="E6" s="8" t="n">
        <v>3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3</v>
      </c>
      <c r="D7" s="35" t="inlineStr">
        <is>
          <t>×1.5</t>
        </is>
      </c>
      <c r="E7" s="8" t="n">
        <v>4.5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2</v>
      </c>
      <c r="D8" s="35" t="inlineStr">
        <is>
          <t>×2.0</t>
        </is>
      </c>
      <c r="E8" s="8" t="n">
        <v>4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3</v>
      </c>
      <c r="D9" s="35" t="inlineStr">
        <is>
          <t>×1.0</t>
        </is>
      </c>
      <c r="E9" s="8" t="n">
        <v>3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3</v>
      </c>
      <c r="D10" s="35" t="inlineStr">
        <is>
          <t>×1.5</t>
        </is>
      </c>
      <c r="E10" s="8" t="n">
        <v>4.5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14</v>
      </c>
      <c r="D14" s="37" t="inlineStr"/>
      <c r="E14" s="39" t="n">
        <v>19</v>
      </c>
      <c r="F14" s="39" t="n">
        <v>0</v>
      </c>
    </row>
    <row r="16">
      <c r="A16" s="40" t="inlineStr">
        <is>
          <t>CONSTRAINT COUNT</t>
        </is>
      </c>
      <c r="C16" s="55" t="n">
        <v>0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19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15 of 20  |  Constraint Count: 0  |  Weighted Sum: 19.0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4" t="inlineStr"/>
      <c r="C23" s="54" t="inlineStr"/>
      <c r="D23" s="54" t="inlineStr"/>
      <c r="E23" s="51" t="inlineStr"/>
      <c r="F23" s="51" t="inlineStr"/>
      <c r="G23" s="46" t="n">
        <v>3</v>
      </c>
    </row>
    <row r="24">
      <c r="A24" s="46" t="inlineStr">
        <is>
          <t>CYRP</t>
        </is>
      </c>
      <c r="B24" s="54" t="inlineStr"/>
      <c r="C24" s="54" t="inlineStr"/>
      <c r="D24" s="54" t="inlineStr"/>
      <c r="E24" s="51" t="inlineStr"/>
      <c r="F24" s="51" t="inlineStr"/>
      <c r="G24" s="46" t="n">
        <v>3</v>
      </c>
    </row>
    <row r="25">
      <c r="A25" s="46" t="inlineStr">
        <is>
          <t>SSP</t>
        </is>
      </c>
      <c r="B25" s="54" t="inlineStr"/>
      <c r="C25" s="54" t="inlineStr"/>
      <c r="D25" s="51" t="inlineStr"/>
      <c r="E25" s="51" t="inlineStr"/>
      <c r="F25" s="51" t="inlineStr"/>
      <c r="G25" s="46" t="n">
        <v>2</v>
      </c>
    </row>
    <row r="26">
      <c r="A26" s="46" t="inlineStr">
        <is>
          <t>MTP</t>
        </is>
      </c>
      <c r="B26" s="54" t="inlineStr"/>
      <c r="C26" s="54" t="inlineStr"/>
      <c r="D26" s="54" t="inlineStr"/>
      <c r="E26" s="51" t="inlineStr"/>
      <c r="F26" s="51" t="inlineStr"/>
      <c r="G26" s="46" t="n">
        <v>3</v>
      </c>
    </row>
    <row r="27">
      <c r="A27" s="46" t="inlineStr">
        <is>
          <t>CTAP</t>
        </is>
      </c>
      <c r="B27" s="54" t="inlineStr"/>
      <c r="C27" s="54" t="inlineStr"/>
      <c r="D27" s="54" t="inlineStr"/>
      <c r="E27" s="51" t="inlineStr"/>
      <c r="F27" s="51" t="inlineStr"/>
      <c r="G27" s="46" t="n">
        <v>3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100010</t>
        </is>
      </c>
      <c r="G2" s="2" t="inlineStr">
        <is>
          <t>RANK</t>
        </is>
      </c>
    </row>
    <row r="3">
      <c r="A3" s="33" t="inlineStr">
        <is>
          <t>Senior, Departmental Core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2</v>
      </c>
      <c r="D6" s="35" t="inlineStr">
        <is>
          <t>×1.0</t>
        </is>
      </c>
      <c r="E6" s="8" t="n">
        <v>2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3</v>
      </c>
      <c r="D7" s="35" t="inlineStr">
        <is>
          <t>×1.5</t>
        </is>
      </c>
      <c r="E7" s="8" t="n">
        <v>4.5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2</v>
      </c>
      <c r="D8" s="35" t="inlineStr">
        <is>
          <t>×2.0</t>
        </is>
      </c>
      <c r="E8" s="8" t="n">
        <v>4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2</v>
      </c>
      <c r="D9" s="35" t="inlineStr">
        <is>
          <t>×1.0</t>
        </is>
      </c>
      <c r="E9" s="8" t="n">
        <v>2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2</v>
      </c>
      <c r="D10" s="35" t="inlineStr">
        <is>
          <t>×1.5</t>
        </is>
      </c>
      <c r="E10" s="8" t="n">
        <v>3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11</v>
      </c>
      <c r="D14" s="37" t="inlineStr"/>
      <c r="E14" s="39" t="n">
        <v>15.5</v>
      </c>
      <c r="F14" s="39" t="n">
        <v>0</v>
      </c>
    </row>
    <row r="16">
      <c r="A16" s="40" t="inlineStr">
        <is>
          <t>CONSTRAINT COUNT</t>
        </is>
      </c>
      <c r="C16" s="55" t="n">
        <v>0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15.5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16 of 20  |  Constraint Count: 0  |  Weighted Sum: 15.5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4" t="inlineStr"/>
      <c r="C23" s="54" t="inlineStr"/>
      <c r="D23" s="51" t="inlineStr"/>
      <c r="E23" s="51" t="inlineStr"/>
      <c r="F23" s="51" t="inlineStr"/>
      <c r="G23" s="46" t="n">
        <v>2</v>
      </c>
    </row>
    <row r="24">
      <c r="A24" s="46" t="inlineStr">
        <is>
          <t>CYRP</t>
        </is>
      </c>
      <c r="B24" s="54" t="inlineStr"/>
      <c r="C24" s="54" t="inlineStr"/>
      <c r="D24" s="54" t="inlineStr"/>
      <c r="E24" s="51" t="inlineStr"/>
      <c r="F24" s="51" t="inlineStr"/>
      <c r="G24" s="46" t="n">
        <v>3</v>
      </c>
    </row>
    <row r="25">
      <c r="A25" s="46" t="inlineStr">
        <is>
          <t>SSP</t>
        </is>
      </c>
      <c r="B25" s="54" t="inlineStr"/>
      <c r="C25" s="54" t="inlineStr"/>
      <c r="D25" s="51" t="inlineStr"/>
      <c r="E25" s="51" t="inlineStr"/>
      <c r="F25" s="51" t="inlineStr"/>
      <c r="G25" s="46" t="n">
        <v>2</v>
      </c>
    </row>
    <row r="26">
      <c r="A26" s="46" t="inlineStr">
        <is>
          <t>MTP</t>
        </is>
      </c>
      <c r="B26" s="54" t="inlineStr"/>
      <c r="C26" s="54" t="inlineStr"/>
      <c r="D26" s="51" t="inlineStr"/>
      <c r="E26" s="51" t="inlineStr"/>
      <c r="F26" s="51" t="inlineStr"/>
      <c r="G26" s="46" t="n">
        <v>2</v>
      </c>
    </row>
    <row r="27">
      <c r="A27" s="46" t="inlineStr">
        <is>
          <t>CTAP</t>
        </is>
      </c>
      <c r="B27" s="54" t="inlineStr"/>
      <c r="C27" s="54" t="inlineStr"/>
      <c r="D27" s="51" t="inlineStr"/>
      <c r="E27" s="51" t="inlineStr"/>
      <c r="F27" s="51" t="inlineStr"/>
      <c r="G27" s="46" t="n">
        <v>2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100012</t>
        </is>
      </c>
      <c r="G2" s="2" t="inlineStr">
        <is>
          <t>RANK</t>
        </is>
      </c>
    </row>
    <row r="3">
      <c r="A3" s="33" t="inlineStr">
        <is>
          <t>Junior, Standard Elective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1</v>
      </c>
      <c r="D6" s="35" t="inlineStr">
        <is>
          <t>×1.0</t>
        </is>
      </c>
      <c r="E6" s="8" t="n">
        <v>1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2</v>
      </c>
      <c r="D7" s="35" t="inlineStr">
        <is>
          <t>×1.5</t>
        </is>
      </c>
      <c r="E7" s="8" t="n">
        <v>3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2</v>
      </c>
      <c r="D9" s="35" t="inlineStr">
        <is>
          <t>×1.0</t>
        </is>
      </c>
      <c r="E9" s="8" t="n">
        <v>2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2</v>
      </c>
      <c r="D10" s="35" t="inlineStr">
        <is>
          <t>×1.5</t>
        </is>
      </c>
      <c r="E10" s="8" t="n">
        <v>3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8</v>
      </c>
      <c r="D14" s="37" t="inlineStr"/>
      <c r="E14" s="39" t="n">
        <v>11</v>
      </c>
      <c r="F14" s="39" t="n">
        <v>0</v>
      </c>
    </row>
    <row r="16">
      <c r="A16" s="40" t="inlineStr">
        <is>
          <t>CONSTRAINT COUNT</t>
        </is>
      </c>
      <c r="C16" s="55" t="n">
        <v>0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11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17 of 20  |  Constraint Count: 0  |  Weighted Sum: 11.0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0" t="inlineStr"/>
      <c r="C23" s="51" t="inlineStr"/>
      <c r="D23" s="51" t="inlineStr"/>
      <c r="E23" s="51" t="inlineStr"/>
      <c r="F23" s="51" t="inlineStr"/>
      <c r="G23" s="46" t="n">
        <v>1</v>
      </c>
    </row>
    <row r="24">
      <c r="A24" s="46" t="inlineStr">
        <is>
          <t>CYRP</t>
        </is>
      </c>
      <c r="B24" s="54" t="inlineStr"/>
      <c r="C24" s="54" t="inlineStr"/>
      <c r="D24" s="51" t="inlineStr"/>
      <c r="E24" s="51" t="inlineStr"/>
      <c r="F24" s="51" t="inlineStr"/>
      <c r="G24" s="46" t="n">
        <v>2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54" t="inlineStr"/>
      <c r="C26" s="54" t="inlineStr"/>
      <c r="D26" s="51" t="inlineStr"/>
      <c r="E26" s="51" t="inlineStr"/>
      <c r="F26" s="51" t="inlineStr"/>
      <c r="G26" s="46" t="n">
        <v>2</v>
      </c>
    </row>
    <row r="27">
      <c r="A27" s="46" t="inlineStr">
        <is>
          <t>CTAP</t>
        </is>
      </c>
      <c r="B27" s="54" t="inlineStr"/>
      <c r="C27" s="54" t="inlineStr"/>
      <c r="D27" s="51" t="inlineStr"/>
      <c r="E27" s="51" t="inlineStr"/>
      <c r="F27" s="51" t="inlineStr"/>
      <c r="G27" s="46" t="n">
        <v>2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100014</t>
        </is>
      </c>
      <c r="G2" s="2" t="inlineStr">
        <is>
          <t>RANK</t>
        </is>
      </c>
    </row>
    <row r="3">
      <c r="A3" s="33" t="inlineStr">
        <is>
          <t>Sophomore, Open Elective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1</v>
      </c>
      <c r="D6" s="35" t="inlineStr">
        <is>
          <t>×1.0</t>
        </is>
      </c>
      <c r="E6" s="8" t="n">
        <v>1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1</v>
      </c>
      <c r="D7" s="35" t="inlineStr">
        <is>
          <t>×1.5</t>
        </is>
      </c>
      <c r="E7" s="8" t="n">
        <v>1.5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1</v>
      </c>
      <c r="D9" s="35" t="inlineStr">
        <is>
          <t>×1.0</t>
        </is>
      </c>
      <c r="E9" s="8" t="n">
        <v>1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1</v>
      </c>
      <c r="D10" s="35" t="inlineStr">
        <is>
          <t>×1.5</t>
        </is>
      </c>
      <c r="E10" s="8" t="n">
        <v>1.5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5</v>
      </c>
      <c r="D14" s="37" t="inlineStr"/>
      <c r="E14" s="39" t="n">
        <v>7</v>
      </c>
      <c r="F14" s="39" t="n">
        <v>0</v>
      </c>
    </row>
    <row r="16">
      <c r="A16" s="40" t="inlineStr">
        <is>
          <t>CONSTRAINT COUNT</t>
        </is>
      </c>
      <c r="C16" s="55" t="n">
        <v>0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7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18 of 20  |  Constraint Count: 0  |  Weighted Sum: 7.0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0" t="inlineStr"/>
      <c r="C23" s="51" t="inlineStr"/>
      <c r="D23" s="51" t="inlineStr"/>
      <c r="E23" s="51" t="inlineStr"/>
      <c r="F23" s="51" t="inlineStr"/>
      <c r="G23" s="46" t="n">
        <v>1</v>
      </c>
    </row>
    <row r="24">
      <c r="A24" s="46" t="inlineStr">
        <is>
          <t>CYRP</t>
        </is>
      </c>
      <c r="B24" s="50" t="inlineStr"/>
      <c r="C24" s="51" t="inlineStr"/>
      <c r="D24" s="51" t="inlineStr"/>
      <c r="E24" s="51" t="inlineStr"/>
      <c r="F24" s="51" t="inlineStr"/>
      <c r="G24" s="46" t="n">
        <v>1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50" t="inlineStr"/>
      <c r="C26" s="51" t="inlineStr"/>
      <c r="D26" s="51" t="inlineStr"/>
      <c r="E26" s="51" t="inlineStr"/>
      <c r="F26" s="51" t="inlineStr"/>
      <c r="G26" s="46" t="n">
        <v>1</v>
      </c>
    </row>
    <row r="27">
      <c r="A27" s="46" t="inlineStr">
        <is>
          <t>CTAP</t>
        </is>
      </c>
      <c r="B27" s="50" t="inlineStr"/>
      <c r="C27" s="51" t="inlineStr"/>
      <c r="D27" s="51" t="inlineStr"/>
      <c r="E27" s="51" t="inlineStr"/>
      <c r="F27" s="51" t="inlineStr"/>
      <c r="G27" s="46" t="n">
        <v>1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100016</t>
        </is>
      </c>
      <c r="G2" s="2" t="inlineStr">
        <is>
          <t>RANK</t>
        </is>
      </c>
    </row>
    <row r="3">
      <c r="A3" s="33" t="inlineStr">
        <is>
          <t>Freshman, Standard Elective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48" t="n">
        <v>1</v>
      </c>
      <c r="D6" s="35" t="inlineStr">
        <is>
          <t>×1.0</t>
        </is>
      </c>
      <c r="E6" s="8" t="n">
        <v>1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1</v>
      </c>
      <c r="D7" s="35" t="inlineStr">
        <is>
          <t>×1.5</t>
        </is>
      </c>
      <c r="E7" s="8" t="n">
        <v>1.5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1</v>
      </c>
      <c r="D9" s="35" t="inlineStr">
        <is>
          <t>×1.0</t>
        </is>
      </c>
      <c r="E9" s="8" t="n">
        <v>1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1</v>
      </c>
      <c r="D10" s="35" t="inlineStr">
        <is>
          <t>×1.5</t>
        </is>
      </c>
      <c r="E10" s="8" t="n">
        <v>1.5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5</v>
      </c>
      <c r="D14" s="37" t="inlineStr"/>
      <c r="E14" s="39" t="n">
        <v>7</v>
      </c>
      <c r="F14" s="39" t="n">
        <v>0</v>
      </c>
    </row>
    <row r="16">
      <c r="A16" s="40" t="inlineStr">
        <is>
          <t>CONSTRAINT COUNT</t>
        </is>
      </c>
      <c r="C16" s="55" t="n">
        <v>0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7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19 of 20  |  Constraint Count: 0  |  Weighted Sum: 7.0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0" t="inlineStr"/>
      <c r="C23" s="51" t="inlineStr"/>
      <c r="D23" s="51" t="inlineStr"/>
      <c r="E23" s="51" t="inlineStr"/>
      <c r="F23" s="51" t="inlineStr"/>
      <c r="G23" s="46" t="n">
        <v>1</v>
      </c>
    </row>
    <row r="24">
      <c r="A24" s="46" t="inlineStr">
        <is>
          <t>CYRP</t>
        </is>
      </c>
      <c r="B24" s="50" t="inlineStr"/>
      <c r="C24" s="51" t="inlineStr"/>
      <c r="D24" s="51" t="inlineStr"/>
      <c r="E24" s="51" t="inlineStr"/>
      <c r="F24" s="51" t="inlineStr"/>
      <c r="G24" s="46" t="n">
        <v>1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50" t="inlineStr"/>
      <c r="C26" s="51" t="inlineStr"/>
      <c r="D26" s="51" t="inlineStr"/>
      <c r="E26" s="51" t="inlineStr"/>
      <c r="F26" s="51" t="inlineStr"/>
      <c r="G26" s="46" t="n">
        <v>1</v>
      </c>
    </row>
    <row r="27">
      <c r="A27" s="46" t="inlineStr">
        <is>
          <t>CTAP</t>
        </is>
      </c>
      <c r="B27" s="50" t="inlineStr"/>
      <c r="C27" s="51" t="inlineStr"/>
      <c r="D27" s="51" t="inlineStr"/>
      <c r="E27" s="51" t="inlineStr"/>
      <c r="F27" s="51" t="inlineStr"/>
      <c r="G27" s="46" t="n">
        <v>1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10" customWidth="1" min="4" max="4"/>
    <col width="16" customWidth="1" min="5" max="5"/>
    <col width="14" customWidth="1" min="6" max="6"/>
    <col width="8" customWidth="1" min="7" max="7"/>
  </cols>
  <sheetData>
    <row r="1">
      <c r="A1" s="1" t="inlineStr">
        <is>
          <t>STUDENT PRIORITY SCORECARD</t>
        </is>
      </c>
    </row>
    <row r="2">
      <c r="A2" s="17" t="inlineStr">
        <is>
          <t>Student ID# 100020</t>
        </is>
      </c>
      <c r="G2" s="2" t="inlineStr">
        <is>
          <t>RANK</t>
        </is>
      </c>
    </row>
    <row r="3">
      <c r="A3" s="33" t="inlineStr">
        <is>
          <t>Open Elective, Fully Flexible</t>
        </is>
      </c>
      <c r="G3" s="34" t="n"/>
    </row>
    <row r="5">
      <c r="A5" s="2" t="inlineStr">
        <is>
          <t>#</t>
        </is>
      </c>
      <c r="B5" s="2" t="inlineStr">
        <is>
          <t>Input</t>
        </is>
      </c>
      <c r="C5" s="2" t="inlineStr">
        <is>
          <t>Raw Value (0-5)</t>
        </is>
      </c>
      <c r="D5" s="2" t="inlineStr">
        <is>
          <t>Weight</t>
        </is>
      </c>
      <c r="E5" s="2" t="inlineStr">
        <is>
          <t>Weighted Value</t>
        </is>
      </c>
      <c r="F5" s="2" t="inlineStr">
        <is>
          <t>Constraint?</t>
        </is>
      </c>
    </row>
    <row r="6">
      <c r="A6" s="5" t="n">
        <v>1</v>
      </c>
      <c r="B6" s="4" t="inlineStr">
        <is>
          <t>Course File Priority</t>
        </is>
      </c>
      <c r="C6" s="29" t="n">
        <v>0</v>
      </c>
      <c r="D6" s="35" t="inlineStr">
        <is>
          <t>×1.0</t>
        </is>
      </c>
      <c r="E6" s="8" t="n">
        <v>0</v>
      </c>
      <c r="F6" s="49" t="inlineStr">
        <is>
          <t>—</t>
        </is>
      </c>
    </row>
    <row r="7">
      <c r="A7" s="5" t="n">
        <v>2</v>
      </c>
      <c r="B7" s="4" t="inlineStr">
        <is>
          <t>Current Year Course Request Priority</t>
        </is>
      </c>
      <c r="C7" s="48" t="n">
        <v>1</v>
      </c>
      <c r="D7" s="35" t="inlineStr">
        <is>
          <t>×1.5</t>
        </is>
      </c>
      <c r="E7" s="8" t="n">
        <v>1.5</v>
      </c>
      <c r="F7" s="49" t="inlineStr">
        <is>
          <t>—</t>
        </is>
      </c>
    </row>
    <row r="8">
      <c r="A8" s="5" t="n">
        <v>3</v>
      </c>
      <c r="B8" s="4" t="inlineStr">
        <is>
          <t>Student Scheduling Priority</t>
        </is>
      </c>
      <c r="C8" s="48" t="n">
        <v>1</v>
      </c>
      <c r="D8" s="35" t="inlineStr">
        <is>
          <t>×2.0</t>
        </is>
      </c>
      <c r="E8" s="8" t="n">
        <v>2</v>
      </c>
      <c r="F8" s="49" t="inlineStr">
        <is>
          <t>—</t>
        </is>
      </c>
    </row>
    <row r="9">
      <c r="A9" s="5" t="n">
        <v>4</v>
      </c>
      <c r="B9" s="4" t="inlineStr">
        <is>
          <t>Master Teacher Profile Priority</t>
        </is>
      </c>
      <c r="C9" s="48" t="n">
        <v>1</v>
      </c>
      <c r="D9" s="35" t="inlineStr">
        <is>
          <t>×1.0</t>
        </is>
      </c>
      <c r="E9" s="8" t="n">
        <v>1</v>
      </c>
      <c r="F9" s="49" t="inlineStr">
        <is>
          <t>—</t>
        </is>
      </c>
    </row>
    <row r="10">
      <c r="A10" s="5" t="n">
        <v>5</v>
      </c>
      <c r="B10" s="4" t="inlineStr">
        <is>
          <t>Current Year Teacher Assignment Priority</t>
        </is>
      </c>
      <c r="C10" s="48" t="n">
        <v>1</v>
      </c>
      <c r="D10" s="35" t="inlineStr">
        <is>
          <t>×1.5</t>
        </is>
      </c>
      <c r="E10" s="8" t="n">
        <v>1.5</v>
      </c>
      <c r="F10" s="49" t="inlineStr">
        <is>
          <t>—</t>
        </is>
      </c>
    </row>
    <row r="11">
      <c r="A11" s="5" t="n">
        <v>6</v>
      </c>
      <c r="B11" s="4" t="inlineStr">
        <is>
          <t>Term Lock</t>
        </is>
      </c>
      <c r="C11" s="29" t="n">
        <v>0</v>
      </c>
      <c r="D11" s="35" t="inlineStr">
        <is>
          <t>×2.0</t>
        </is>
      </c>
      <c r="E11" s="8" t="n">
        <v>0</v>
      </c>
      <c r="F11" s="49" t="inlineStr">
        <is>
          <t>—</t>
        </is>
      </c>
    </row>
    <row r="12">
      <c r="A12" s="5" t="n">
        <v>7</v>
      </c>
      <c r="B12" s="4" t="inlineStr">
        <is>
          <t>Period Lock</t>
        </is>
      </c>
      <c r="C12" s="29" t="n">
        <v>0</v>
      </c>
      <c r="D12" s="35" t="inlineStr">
        <is>
          <t>×2.0</t>
        </is>
      </c>
      <c r="E12" s="8" t="n">
        <v>0</v>
      </c>
      <c r="F12" s="49" t="inlineStr">
        <is>
          <t>—</t>
        </is>
      </c>
    </row>
    <row r="13">
      <c r="A13" s="5" t="n">
        <v>8</v>
      </c>
      <c r="B13" s="4" t="inlineStr">
        <is>
          <t>Room Lock</t>
        </is>
      </c>
      <c r="C13" s="29" t="n">
        <v>0</v>
      </c>
      <c r="D13" s="35" t="inlineStr">
        <is>
          <t>×1.5</t>
        </is>
      </c>
      <c r="E13" s="8" t="n">
        <v>0</v>
      </c>
      <c r="F13" s="49" t="inlineStr">
        <is>
          <t>—</t>
        </is>
      </c>
    </row>
    <row r="14">
      <c r="A14" s="37" t="inlineStr"/>
      <c r="B14" s="38" t="inlineStr">
        <is>
          <t>TOTALS</t>
        </is>
      </c>
      <c r="C14" s="39" t="n">
        <v>4</v>
      </c>
      <c r="D14" s="37" t="inlineStr"/>
      <c r="E14" s="39" t="n">
        <v>6</v>
      </c>
      <c r="F14" s="39" t="n">
        <v>0</v>
      </c>
    </row>
    <row r="16">
      <c r="A16" s="40" t="inlineStr">
        <is>
          <t>CONSTRAINT COUNT</t>
        </is>
      </c>
      <c r="C16" s="55" t="n">
        <v>0</v>
      </c>
      <c r="D16" s="42" t="inlineStr">
        <is>
          <t>of 8 inputs scored ≥ 4</t>
        </is>
      </c>
      <c r="E16" s="13" t="n"/>
      <c r="F16" s="14" t="n"/>
    </row>
    <row r="17">
      <c r="A17" s="40" t="inlineStr">
        <is>
          <t>WEIGHTED SUM</t>
        </is>
      </c>
      <c r="C17" s="43" t="n">
        <v>6</v>
      </c>
      <c r="D17" s="42" t="inlineStr">
        <is>
          <t>of 62.5 maximum</t>
        </is>
      </c>
      <c r="E17" s="13" t="n"/>
      <c r="F17" s="14" t="n"/>
    </row>
    <row r="19">
      <c r="A19" s="44" t="inlineStr">
        <is>
          <t>STUDENT RANK SCORE</t>
        </is>
      </c>
    </row>
    <row r="20">
      <c r="A20" s="21" t="inlineStr">
        <is>
          <t>Rank 20 of 20  |  Constraint Count: 0  |  Weighted Sum: 6.0</t>
        </is>
      </c>
    </row>
    <row r="22">
      <c r="A22" s="45" t="inlineStr">
        <is>
          <t>CONSTRAINT PROFILE</t>
        </is>
      </c>
    </row>
    <row r="23">
      <c r="A23" s="46" t="inlineStr">
        <is>
          <t>CFP</t>
        </is>
      </c>
      <c r="B23" s="51" t="inlineStr"/>
      <c r="C23" s="51" t="inlineStr"/>
      <c r="D23" s="51" t="inlineStr"/>
      <c r="E23" s="51" t="inlineStr"/>
      <c r="F23" s="51" t="inlineStr"/>
      <c r="G23" s="46" t="n">
        <v>0</v>
      </c>
    </row>
    <row r="24">
      <c r="A24" s="46" t="inlineStr">
        <is>
          <t>CYRP</t>
        </is>
      </c>
      <c r="B24" s="50" t="inlineStr"/>
      <c r="C24" s="51" t="inlineStr"/>
      <c r="D24" s="51" t="inlineStr"/>
      <c r="E24" s="51" t="inlineStr"/>
      <c r="F24" s="51" t="inlineStr"/>
      <c r="G24" s="46" t="n">
        <v>1</v>
      </c>
    </row>
    <row r="25">
      <c r="A25" s="46" t="inlineStr">
        <is>
          <t>SSP</t>
        </is>
      </c>
      <c r="B25" s="50" t="inlineStr"/>
      <c r="C25" s="51" t="inlineStr"/>
      <c r="D25" s="51" t="inlineStr"/>
      <c r="E25" s="51" t="inlineStr"/>
      <c r="F25" s="51" t="inlineStr"/>
      <c r="G25" s="46" t="n">
        <v>1</v>
      </c>
    </row>
    <row r="26">
      <c r="A26" s="46" t="inlineStr">
        <is>
          <t>MTP</t>
        </is>
      </c>
      <c r="B26" s="50" t="inlineStr"/>
      <c r="C26" s="51" t="inlineStr"/>
      <c r="D26" s="51" t="inlineStr"/>
      <c r="E26" s="51" t="inlineStr"/>
      <c r="F26" s="51" t="inlineStr"/>
      <c r="G26" s="46" t="n">
        <v>1</v>
      </c>
    </row>
    <row r="27">
      <c r="A27" s="46" t="inlineStr">
        <is>
          <t>CTAP</t>
        </is>
      </c>
      <c r="B27" s="50" t="inlineStr"/>
      <c r="C27" s="51" t="inlineStr"/>
      <c r="D27" s="51" t="inlineStr"/>
      <c r="E27" s="51" t="inlineStr"/>
      <c r="F27" s="51" t="inlineStr"/>
      <c r="G27" s="46" t="n">
        <v>1</v>
      </c>
    </row>
    <row r="28">
      <c r="A28" s="46" t="inlineStr">
        <is>
          <t>TL</t>
        </is>
      </c>
      <c r="B28" s="51" t="inlineStr"/>
      <c r="C28" s="51" t="inlineStr"/>
      <c r="D28" s="51" t="inlineStr"/>
      <c r="E28" s="51" t="inlineStr"/>
      <c r="F28" s="51" t="inlineStr"/>
      <c r="G28" s="46" t="n">
        <v>0</v>
      </c>
    </row>
    <row r="29">
      <c r="A29" s="46" t="inlineStr">
        <is>
          <t>PL</t>
        </is>
      </c>
      <c r="B29" s="51" t="inlineStr"/>
      <c r="C29" s="51" t="inlineStr"/>
      <c r="D29" s="51" t="inlineStr"/>
      <c r="E29" s="51" t="inlineStr"/>
      <c r="F29" s="51" t="inlineStr"/>
      <c r="G29" s="46" t="n">
        <v>0</v>
      </c>
    </row>
    <row r="30">
      <c r="A30" s="46" t="inlineStr">
        <is>
          <t>RL</t>
        </is>
      </c>
      <c r="B30" s="51" t="inlineStr"/>
      <c r="C30" s="51" t="inlineStr"/>
      <c r="D30" s="51" t="inlineStr"/>
      <c r="E30" s="51" t="inlineStr"/>
      <c r="F30" s="51" t="inlineStr"/>
      <c r="G30" s="46" t="n">
        <v>0</v>
      </c>
    </row>
  </sheetData>
  <mergeCells count="11">
    <mergeCell ref="A2:F2"/>
    <mergeCell ref="A16:B16"/>
    <mergeCell ref="A20:F20"/>
    <mergeCell ref="A19:F19"/>
    <mergeCell ref="A1:F1"/>
    <mergeCell ref="D17:F17"/>
    <mergeCell ref="A22:F22"/>
    <mergeCell ref="A17:B17"/>
    <mergeCell ref="A3:F3"/>
    <mergeCell ref="G2:G3"/>
    <mergeCell ref="D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2026-07-29T21:45:21Z</dcterms:created>
  <dcterms:modified xsi:type="dcterms:W3CDTF">2026-07-29T21:45:21Z</dcterms:modified>
</cp:coreProperties>
</file>
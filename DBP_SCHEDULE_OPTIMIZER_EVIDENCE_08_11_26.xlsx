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HEADLINE" sheetId="1" state="visible" r:id="rId3"/>
    <sheet name="2. VERIFICATION METHOD" sheetId="2" state="visible" r:id="rId4"/>
    <sheet name="3. FULFILMENT BY GRADE" sheetId="3" state="visible" r:id="rId5"/>
    <sheet name="4. FULFILMENT BY COURSE" sheetId="4" state="visible" r:id="rId6"/>
    <sheet name="5. THE 128 FAILURES" sheetId="5" state="visible" r:id="rId7"/>
    <sheet name="6. RECOVERY TESTING" sheetId="6" state="visible" r:id="rId8"/>
    <sheet name="7. STRUCTURAL METRICS" sheetId="7" state="visible" r:id="rId9"/>
    <sheet name="8. COMPLIANCE EVIDENCE" sheetId="8" state="visible" r:id="rId10"/>
    <sheet name="9. FAIR COMPARIS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<sst xmlns="http://schemas.openxmlformats.org/spreadsheetml/2006/main" count="702" uniqueCount="499">
  <si>
    <t xml:space="preserve">SCHEDULE OPTIMIZER — EVIDENCE OF EFFECTIVENESS</t>
  </si>
  <si>
    <t xml:space="preserve">Don Bosco Prep, 2026-27 master schedule. Every figure below is recomputed from the delivered schedule files, not copied from a summary.</t>
  </si>
  <si>
    <t xml:space="preserve">HEAD-TO-HEAD</t>
  </si>
  <si>
    <t xml:space="preserve">Metric</t>
  </si>
  <si>
    <t xml:space="preserve">Schedule Optimizer</t>
  </si>
  <si>
    <t xml:space="preserve">Master Schedule Builder</t>
  </si>
  <si>
    <t xml:space="preserve">Difference</t>
  </si>
  <si>
    <t xml:space="preserve">Comparable?</t>
  </si>
  <si>
    <t xml:space="preserve">Course requests fulfilled</t>
  </si>
  <si>
    <t xml:space="preserve">Denominators must be confirmed</t>
  </si>
  <si>
    <t xml:space="preserve">Student period conflicts remaining</t>
  </si>
  <si>
    <t xml:space="preserve">Yes — same definition</t>
  </si>
  <si>
    <t xml:space="preserve">Teacher double-bookings remaining</t>
  </si>
  <si>
    <t xml:space="preserve">not reported</t>
  </si>
  <si>
    <t xml:space="preserve">n/a</t>
  </si>
  <si>
    <t xml:space="preserve">Optimizer figure verified</t>
  </si>
  <si>
    <t xml:space="preserve">Genuine room conflicts remaining</t>
  </si>
  <si>
    <t xml:space="preserve">Gymnasium excluded by design</t>
  </si>
  <si>
    <t xml:space="preserve">Graduation requirements placed</t>
  </si>
  <si>
    <t xml:space="preserve">Optimizer: 4,993 of 4,993</t>
  </si>
  <si>
    <t xml:space="preserve">Students fully scheduled</t>
  </si>
  <si>
    <t xml:space="preserve">686 of 803</t>
  </si>
  <si>
    <t xml:space="preserve">THE FINDING THAT MATTERS MOST</t>
  </si>
  <si>
    <t xml:space="preserve">The 87.3% figure and the 833 remaining conflicts are the same fact stated twice.</t>
  </si>
  <si>
    <t xml:space="preserve">A schedule that still contains 833 student period conflicts is not an 87.3%-complete schedule — it is not a deliverable schedule at all,</t>
  </si>
  <si>
    <t xml:space="preserve">because 833 students would be told to be in two rooms at once. The Optimizer treats a period conflict as an invalid state, never as a</t>
  </si>
  <si>
    <t xml:space="preserve">penalty to be traded away, which is why its conflict count is 0 and not merely low.</t>
  </si>
  <si>
    <t xml:space="preserve">This is the practical consequence of strict lexicographic ordering (Section 2.2 of the transfer spec). A weighted objective can always</t>
  </si>
  <si>
    <t xml:space="preserve">buy a higher placement count by tolerating conflicts. A constraint cannot be bought.</t>
  </si>
  <si>
    <t xml:space="preserve">THE OPTIMIZER BUILD IN NUMBERS</t>
  </si>
  <si>
    <t xml:space="preserve">Measure</t>
  </si>
  <si>
    <t xml:space="preserve">Value</t>
  </si>
  <si>
    <t xml:space="preserve">Source</t>
  </si>
  <si>
    <t xml:space="preserve">Active students scheduled</t>
  </si>
  <si>
    <t xml:space="preserve">STUDENT_SCHEDULE_CLASS_ID_MAPPED_08_11_26.xlsx — distinct Student IDs</t>
  </si>
  <si>
    <t xml:space="preserve">Enrolment rows placed (seats filled)</t>
  </si>
  <si>
    <t xml:space="preserve">Same file — rows excluding UNSCHED placeholders</t>
  </si>
  <si>
    <t xml:space="preserve">Distinct sections carrying students</t>
  </si>
  <si>
    <t xml:space="preserve">Same file — distinct Class IDs. 367 sections exist; 4 have zero enrolment.</t>
  </si>
  <si>
    <t xml:space="preserve">Distinct teachers</t>
  </si>
  <si>
    <t xml:space="preserve">Same file — distinct teacher names</t>
  </si>
  <si>
    <t xml:space="preserve">Unique course requests</t>
  </si>
  <si>
    <t xml:space="preserve">DBP_COURSE_REQUEST_FULFILMENT_08_10_26.xlsx</t>
  </si>
  <si>
    <t xml:space="preserve">Requests fulfilled</t>
  </si>
  <si>
    <t xml:space="preserve">Requests unfulfilled</t>
  </si>
  <si>
    <t xml:space="preserve">Open period-slots remaining</t>
  </si>
  <si>
    <t xml:space="preserve">Same file — UNSCHED rows</t>
  </si>
  <si>
    <t xml:space="preserve">Students with an open period</t>
  </si>
  <si>
    <t xml:space="preserve">DBP_MASTER_SCHEDULE_REPORT_08_10_26.xlsx</t>
  </si>
  <si>
    <t xml:space="preserve">Fulfilment rate (calculated)</t>
  </si>
  <si>
    <t xml:space="preserve">Live formula — recalculates from the two cells above</t>
  </si>
  <si>
    <t xml:space="preserve">WHAT THE REMAINING 128 ACTUALLY ARE</t>
  </si>
  <si>
    <t xml:space="preserve">Of the 56 courses carrying an unfulfilled request, 55 already have open seats.</t>
  </si>
  <si>
    <t xml:space="preserve">Only Chorus (course 202) has no section anywhere in the master schedule — that is a catalogue gap, not a scheduling failure.</t>
  </si>
  <si>
    <t xml:space="preserve">The other 118 are period conflicts against a course that has room. They are structural, and Sheet 5 shows they were tested exhaustively.</t>
  </si>
  <si>
    <t xml:space="preserve">HOW THESE NUMBERS WERE VERIFIED</t>
  </si>
  <si>
    <t xml:space="preserve">Why this sheet exists</t>
  </si>
  <si>
    <t xml:space="preserve">Any claim of effectiveness is worthless if it comes from the same process that produced the result.</t>
  </si>
  <si>
    <t xml:space="preserve">Every conflict figure on Sheet 1 was recomputed from the delivered student schedule file, independently of any report.</t>
  </si>
  <si>
    <t xml:space="preserve">The method is stated below so the Claude Code project can run the identical test on its own output.</t>
  </si>
  <si>
    <t xml:space="preserve">Source file</t>
  </si>
  <si>
    <t xml:space="preserve">STUDENT_SCHEDULE_CLASS_ID_MAPPED_08_11_26.xlsx  —  6,599 rows, one row per student per course placement.</t>
  </si>
  <si>
    <t xml:space="preserve">173 of those rows are UNSCHED placeholders marking an open period. They are excluded, leaving 6,426 real placements.</t>
  </si>
  <si>
    <t xml:space="preserve">Term expansion rule</t>
  </si>
  <si>
    <t xml:space="preserve">A full-year (FY) section occupies BOTH semesters. Before testing, every FY row is expanded into an S1 row and an S2 row.</t>
  </si>
  <si>
    <t xml:space="preserve">Skipping this step is the classic way a conflict checker reports zero conflicts on a schedule that has many:</t>
  </si>
  <si>
    <t xml:space="preserve">an FY course and an S2 course at the same period look like different terms until you expand.</t>
  </si>
  <si>
    <t xml:space="preserve">Test 1 — student period conflicts</t>
  </si>
  <si>
    <t xml:space="preserve">Group every placement by (Student ID, Period, expanded Term). Any group containing two or more different Class IDs is a conflict.</t>
  </si>
  <si>
    <t xml:space="preserve">RESULT: 0 conflicts across 803 students.</t>
  </si>
  <si>
    <t xml:space="preserve">Test 2 — teacher double-booking</t>
  </si>
  <si>
    <t xml:space="preserve">Group by (Teacher, Period, expanded Term). Count distinct rooms in each group.</t>
  </si>
  <si>
    <t xml:space="preserve">Two sections in the SAME room at the same period are a co-scheduled block and are legitimate — they count as one period.</t>
  </si>
  <si>
    <t xml:space="preserve">Two sections in DIFFERENT rooms at the same period are a genuine double-booking.</t>
  </si>
  <si>
    <t xml:space="preserve">RESULT: 0 double-bookings.</t>
  </si>
  <si>
    <t xml:space="preserve">Test 3 — room conflicts</t>
  </si>
  <si>
    <t xml:space="preserve">Group by (Room, Period, expanded Term). Any group with two or more different teachers is flagged.</t>
  </si>
  <si>
    <t xml:space="preserve">RESULT: 10 flagged, of which 10 are the Gymnasium, which hosts concurrent PE classes by design.</t>
  </si>
  <si>
    <t xml:space="preserve">Genuine room conflicts: 0.</t>
  </si>
  <si>
    <t xml:space="preserve">What this proves and what it does not</t>
  </si>
  <si>
    <t xml:space="preserve">PROVES: the delivered schedule is internally consistent. No student, teacher, or room is booked twice.</t>
  </si>
  <si>
    <t xml:space="preserve">DOES NOT PROVE: that this is the best possible schedule. A different method might place more than 6,386 requests.</t>
  </si>
  <si>
    <t xml:space="preserve">What it does establish is a floor that any competing method must clear before its placement rate means anything.</t>
  </si>
  <si>
    <t xml:space="preserve">REQUEST FULFILMENT BY GRADE LEVEL</t>
  </si>
  <si>
    <t xml:space="preserve">Grade</t>
  </si>
  <si>
    <t xml:space="preserve">Students</t>
  </si>
  <si>
    <t xml:space="preserve">Requests</t>
  </si>
  <si>
    <t xml:space="preserve">Fulfilled</t>
  </si>
  <si>
    <t xml:space="preserve">Unfulfilled</t>
  </si>
  <si>
    <t xml:space="preserve">Fulfilled %</t>
  </si>
  <si>
    <t xml:space="preserve">Open Periods</t>
  </si>
  <si>
    <t xml:space="preserve">Students Affected</t>
  </si>
  <si>
    <t xml:space="preserve">TOTAL</t>
  </si>
  <si>
    <t xml:space="preserve">RECONCILIATION NOTE — READ BEFORE EXTERNAL USE</t>
  </si>
  <si>
    <t xml:space="preserve">This table totals 6,506 requests and 120 unfulfilled. The course-level report (Sheet 4) totals 6,514 and 128.</t>
  </si>
  <si>
    <t xml:space="preserve">8 requests are therefore unfulfilled but not attributed to any grade in the by-grade table.</t>
  </si>
  <si>
    <t xml:space="preserve">The recovery analysis also tested 120, matching this table rather than Sheet 4.</t>
  </si>
  <si>
    <t xml:space="preserve">The most likely cause is the 8 requests belonging to the student removed as inactive, but that has NOT been confirmed.</t>
  </si>
  <si>
    <t xml:space="preserve">This must be resolved before the figures are shown to anyone outside the project. It does not affect the conflict counts,</t>
  </si>
  <si>
    <t xml:space="preserve">which were computed directly from the schedule and are independent of both reports.</t>
  </si>
  <si>
    <t xml:space="preserve">READ THIS AS: difficulty rises with grade level. Grade 9 is near-perfect because freshmen take mostly required courses with many sections.</t>
  </si>
  <si>
    <t xml:space="preserve">Grade 12 is hardest because seniors take mostly electives, many of which are singletons. Any product should expect this gradient and report it.</t>
  </si>
  <si>
    <t xml:space="preserve">REQUEST FULFILMENT — ALL COURSES</t>
  </si>
  <si>
    <t xml:space="preserve">Sorted as delivered. % Fulfilled is a live formula. Source: DBP_COURSE_REQUEST_FULFILMENT_08_10_26.xlsx</t>
  </si>
  <si>
    <t xml:space="preserve">Code</t>
  </si>
  <si>
    <t xml:space="preserve">Course Title</t>
  </si>
  <si>
    <t xml:space="preserve">% Fulfilled</t>
  </si>
  <si>
    <t xml:space="preserve">Sections</t>
  </si>
  <si>
    <t xml:space="preserve">Seats</t>
  </si>
  <si>
    <t xml:space="preserve">Enrolled</t>
  </si>
  <si>
    <t xml:space="preserve">Open Seats</t>
  </si>
  <si>
    <t xml:space="preserve">110</t>
  </si>
  <si>
    <t xml:space="preserve">Composition &amp; Literature</t>
  </si>
  <si>
    <t xml:space="preserve">111</t>
  </si>
  <si>
    <t xml:space="preserve">Composition &amp; Literature H</t>
  </si>
  <si>
    <t xml:space="preserve">112</t>
  </si>
  <si>
    <t xml:space="preserve">120</t>
  </si>
  <si>
    <t xml:space="preserve">American Literature</t>
  </si>
  <si>
    <t xml:space="preserve">121</t>
  </si>
  <si>
    <t xml:space="preserve">American Literature H</t>
  </si>
  <si>
    <t xml:space="preserve">122</t>
  </si>
  <si>
    <t xml:space="preserve">129</t>
  </si>
  <si>
    <t xml:space="preserve">AP Seminar</t>
  </si>
  <si>
    <t xml:space="preserve">130</t>
  </si>
  <si>
    <t xml:space="preserve">British Literature</t>
  </si>
  <si>
    <t xml:space="preserve">131</t>
  </si>
  <si>
    <t xml:space="preserve">British Literature H</t>
  </si>
  <si>
    <t xml:space="preserve">132</t>
  </si>
  <si>
    <t xml:space="preserve">139</t>
  </si>
  <si>
    <t xml:space="preserve">AP English Language</t>
  </si>
  <si>
    <t xml:space="preserve">140</t>
  </si>
  <si>
    <t xml:space="preserve">World Literature</t>
  </si>
  <si>
    <t xml:space="preserve">141</t>
  </si>
  <si>
    <t xml:space="preserve">College English Honors</t>
  </si>
  <si>
    <t xml:space="preserve">143</t>
  </si>
  <si>
    <t xml:space="preserve">Creative Writing</t>
  </si>
  <si>
    <t xml:space="preserve">144</t>
  </si>
  <si>
    <t xml:space="preserve">Public Speaking</t>
  </si>
  <si>
    <t xml:space="preserve">145</t>
  </si>
  <si>
    <t xml:space="preserve">Journalism</t>
  </si>
  <si>
    <t xml:space="preserve">146</t>
  </si>
  <si>
    <t xml:space="preserve">149</t>
  </si>
  <si>
    <t xml:space="preserve">AP English Literature</t>
  </si>
  <si>
    <t xml:space="preserve">201</t>
  </si>
  <si>
    <t xml:space="preserve">Introduction to Guitar</t>
  </si>
  <si>
    <t xml:space="preserve">2014</t>
  </si>
  <si>
    <t xml:space="preserve">Multi-Media Production</t>
  </si>
  <si>
    <t xml:space="preserve">202</t>
  </si>
  <si>
    <t xml:space="preserve">Chorus</t>
  </si>
  <si>
    <t xml:space="preserve">2024</t>
  </si>
  <si>
    <t xml:space="preserve">TV/Film Process and Principles</t>
  </si>
  <si>
    <t xml:space="preserve">203</t>
  </si>
  <si>
    <t xml:space="preserve">Guitar Ensemble</t>
  </si>
  <si>
    <t xml:space="preserve">2034</t>
  </si>
  <si>
    <t xml:space="preserve">TV/Film Production &amp; Editing I</t>
  </si>
  <si>
    <t xml:space="preserve">2044</t>
  </si>
  <si>
    <t xml:space="preserve">TV/Film Production II</t>
  </si>
  <si>
    <t xml:space="preserve">2054</t>
  </si>
  <si>
    <t xml:space="preserve">Digital Media</t>
  </si>
  <si>
    <t xml:space="preserve">206</t>
  </si>
  <si>
    <t xml:space="preserve">Band</t>
  </si>
  <si>
    <t xml:space="preserve">209</t>
  </si>
  <si>
    <t xml:space="preserve">String Orchestra</t>
  </si>
  <si>
    <t xml:space="preserve">220</t>
  </si>
  <si>
    <t xml:space="preserve">Music Theory</t>
  </si>
  <si>
    <t xml:space="preserve">225</t>
  </si>
  <si>
    <t xml:space="preserve">Tech Theater Level 1</t>
  </si>
  <si>
    <t xml:space="preserve">227</t>
  </si>
  <si>
    <t xml:space="preserve">Intermediate Theater</t>
  </si>
  <si>
    <t xml:space="preserve">228</t>
  </si>
  <si>
    <t xml:space="preserve">Adv Theater Production</t>
  </si>
  <si>
    <t xml:space="preserve">241</t>
  </si>
  <si>
    <t xml:space="preserve">Studio Art I</t>
  </si>
  <si>
    <t xml:space="preserve">242</t>
  </si>
  <si>
    <t xml:space="preserve">Studio Art II</t>
  </si>
  <si>
    <t xml:space="preserve">243</t>
  </si>
  <si>
    <t xml:space="preserve">Studio Art III</t>
  </si>
  <si>
    <t xml:space="preserve">248</t>
  </si>
  <si>
    <t xml:space="preserve">Adv Drawing</t>
  </si>
  <si>
    <t xml:space="preserve">249</t>
  </si>
  <si>
    <t xml:space="preserve">Adv Painting</t>
  </si>
  <si>
    <t xml:space="preserve">253</t>
  </si>
  <si>
    <t xml:space="preserve">AP Drawing</t>
  </si>
  <si>
    <t xml:space="preserve">254</t>
  </si>
  <si>
    <t xml:space="preserve">AP 2-D Art and Design</t>
  </si>
  <si>
    <t xml:space="preserve">255</t>
  </si>
  <si>
    <t xml:space="preserve">AP 3-D Art and Design</t>
  </si>
  <si>
    <t xml:space="preserve">310</t>
  </si>
  <si>
    <t xml:space="preserve">Spanish I</t>
  </si>
  <si>
    <t xml:space="preserve">311</t>
  </si>
  <si>
    <t xml:space="preserve">Spanish I H</t>
  </si>
  <si>
    <t xml:space="preserve">312</t>
  </si>
  <si>
    <t xml:space="preserve">Italian I</t>
  </si>
  <si>
    <t xml:space="preserve">315</t>
  </si>
  <si>
    <t xml:space="preserve">Latin I H</t>
  </si>
  <si>
    <t xml:space="preserve">320</t>
  </si>
  <si>
    <t xml:space="preserve">Spanish II</t>
  </si>
  <si>
    <t xml:space="preserve">321</t>
  </si>
  <si>
    <t xml:space="preserve">Spanish II H</t>
  </si>
  <si>
    <t xml:space="preserve">322</t>
  </si>
  <si>
    <t xml:space="preserve">Italian II</t>
  </si>
  <si>
    <t xml:space="preserve">323</t>
  </si>
  <si>
    <t xml:space="preserve">Italian II H</t>
  </si>
  <si>
    <t xml:space="preserve">327</t>
  </si>
  <si>
    <t xml:space="preserve">Latin II H</t>
  </si>
  <si>
    <t xml:space="preserve">330</t>
  </si>
  <si>
    <t xml:space="preserve">Spanish III</t>
  </si>
  <si>
    <t xml:space="preserve">331</t>
  </si>
  <si>
    <t xml:space="preserve">Spanish III H</t>
  </si>
  <si>
    <t xml:space="preserve">332</t>
  </si>
  <si>
    <t xml:space="preserve">Italian III</t>
  </si>
  <si>
    <t xml:space="preserve">333</t>
  </si>
  <si>
    <t xml:space="preserve">Italian III H</t>
  </si>
  <si>
    <t xml:space="preserve">339</t>
  </si>
  <si>
    <t xml:space="preserve">Latin III H</t>
  </si>
  <si>
    <t xml:space="preserve">351</t>
  </si>
  <si>
    <t xml:space="preserve">AP Spanish</t>
  </si>
  <si>
    <t xml:space="preserve">352</t>
  </si>
  <si>
    <t xml:space="preserve">AP Italian</t>
  </si>
  <si>
    <t xml:space="preserve">359</t>
  </si>
  <si>
    <t xml:space="preserve">AP Latin</t>
  </si>
  <si>
    <t xml:space="preserve">410</t>
  </si>
  <si>
    <t xml:space="preserve">Algebra I</t>
  </si>
  <si>
    <t xml:space="preserve">411</t>
  </si>
  <si>
    <t xml:space="preserve">Algebra I H</t>
  </si>
  <si>
    <t xml:space="preserve">412</t>
  </si>
  <si>
    <t xml:space="preserve">420</t>
  </si>
  <si>
    <t xml:space="preserve">Geometry</t>
  </si>
  <si>
    <t xml:space="preserve">421</t>
  </si>
  <si>
    <t xml:space="preserve">Geometry H</t>
  </si>
  <si>
    <t xml:space="preserve">422</t>
  </si>
  <si>
    <t xml:space="preserve">425</t>
  </si>
  <si>
    <t xml:space="preserve">Adv Geometry H</t>
  </si>
  <si>
    <t xml:space="preserve">430</t>
  </si>
  <si>
    <t xml:space="preserve">Algebra II/Trig</t>
  </si>
  <si>
    <t xml:space="preserve">431</t>
  </si>
  <si>
    <t xml:space="preserve">Algebra II/Trig H</t>
  </si>
  <si>
    <t xml:space="preserve">432</t>
  </si>
  <si>
    <t xml:space="preserve">435</t>
  </si>
  <si>
    <t xml:space="preserve">Adv Algebra II / Trig H</t>
  </si>
  <si>
    <t xml:space="preserve">440</t>
  </si>
  <si>
    <t xml:space="preserve">Precalculus</t>
  </si>
  <si>
    <t xml:space="preserve">443</t>
  </si>
  <si>
    <t xml:space="preserve">AP Precalculus</t>
  </si>
  <si>
    <t xml:space="preserve">445</t>
  </si>
  <si>
    <t xml:space="preserve">Adv Precalculus H</t>
  </si>
  <si>
    <t xml:space="preserve">448</t>
  </si>
  <si>
    <t xml:space="preserve">Pre-college Math</t>
  </si>
  <si>
    <t xml:space="preserve">450</t>
  </si>
  <si>
    <t xml:space="preserve">Calculus H</t>
  </si>
  <si>
    <t xml:space="preserve">453</t>
  </si>
  <si>
    <t xml:space="preserve">AP Calc AB</t>
  </si>
  <si>
    <t xml:space="preserve">455</t>
  </si>
  <si>
    <t xml:space="preserve">AP Calc BC</t>
  </si>
  <si>
    <t xml:space="preserve">456</t>
  </si>
  <si>
    <t xml:space="preserve">AP Statistics</t>
  </si>
  <si>
    <t xml:space="preserve">472</t>
  </si>
  <si>
    <t xml:space="preserve">Web Design</t>
  </si>
  <si>
    <t xml:space="preserve">473</t>
  </si>
  <si>
    <t xml:space="preserve">Introduction to Programming</t>
  </si>
  <si>
    <t xml:space="preserve">490</t>
  </si>
  <si>
    <t xml:space="preserve">AP Computer Science A</t>
  </si>
  <si>
    <t xml:space="preserve">491</t>
  </si>
  <si>
    <t xml:space="preserve">AP Computer Science Principles</t>
  </si>
  <si>
    <t xml:space="preserve">494</t>
  </si>
  <si>
    <t xml:space="preserve">Applied Programming</t>
  </si>
  <si>
    <t xml:space="preserve">496</t>
  </si>
  <si>
    <t xml:space="preserve">AP Cybersecurity</t>
  </si>
  <si>
    <t xml:space="preserve">500</t>
  </si>
  <si>
    <t xml:space="preserve">Earth Science</t>
  </si>
  <si>
    <t xml:space="preserve">510</t>
  </si>
  <si>
    <t xml:space="preserve">Biology</t>
  </si>
  <si>
    <t xml:space="preserve">511</t>
  </si>
  <si>
    <t xml:space="preserve">Biology H</t>
  </si>
  <si>
    <t xml:space="preserve">520</t>
  </si>
  <si>
    <t xml:space="preserve">Chemistry</t>
  </si>
  <si>
    <t xml:space="preserve">521</t>
  </si>
  <si>
    <t xml:space="preserve">Chemistry H</t>
  </si>
  <si>
    <t xml:space="preserve">530</t>
  </si>
  <si>
    <t xml:space="preserve">Physics</t>
  </si>
  <si>
    <t xml:space="preserve">531</t>
  </si>
  <si>
    <t xml:space="preserve">Physics H</t>
  </si>
  <si>
    <t xml:space="preserve">542</t>
  </si>
  <si>
    <t xml:space="preserve">Anatomy/Physiology</t>
  </si>
  <si>
    <t xml:space="preserve">543</t>
  </si>
  <si>
    <t xml:space="preserve">Anatomy/Physiology H</t>
  </si>
  <si>
    <t xml:space="preserve">544</t>
  </si>
  <si>
    <t xml:space="preserve">Sports Medicine</t>
  </si>
  <si>
    <t xml:space="preserve">546</t>
  </si>
  <si>
    <t xml:space="preserve">Forensics</t>
  </si>
  <si>
    <t xml:space="preserve">551</t>
  </si>
  <si>
    <t xml:space="preserve">AP Biology</t>
  </si>
  <si>
    <t xml:space="preserve">553</t>
  </si>
  <si>
    <t xml:space="preserve">AP Chemistry</t>
  </si>
  <si>
    <t xml:space="preserve">557</t>
  </si>
  <si>
    <t xml:space="preserve">AP Physics 1</t>
  </si>
  <si>
    <t xml:space="preserve">558</t>
  </si>
  <si>
    <t xml:space="preserve">AP Physics C</t>
  </si>
  <si>
    <t xml:space="preserve">570</t>
  </si>
  <si>
    <t xml:space="preserve">Introduction to Robotics</t>
  </si>
  <si>
    <t xml:space="preserve">580</t>
  </si>
  <si>
    <t xml:space="preserve">Robotics Engineering</t>
  </si>
  <si>
    <t xml:space="preserve">585</t>
  </si>
  <si>
    <t xml:space="preserve">Robotics Design</t>
  </si>
  <si>
    <t xml:space="preserve">590</t>
  </si>
  <si>
    <t xml:space="preserve">Robotics Project</t>
  </si>
  <si>
    <t xml:space="preserve">591</t>
  </si>
  <si>
    <t xml:space="preserve">Robotics Project II</t>
  </si>
  <si>
    <t xml:space="preserve">595</t>
  </si>
  <si>
    <t xml:space="preserve">Engineering Design</t>
  </si>
  <si>
    <t xml:space="preserve">610</t>
  </si>
  <si>
    <t xml:space="preserve">Health/PE</t>
  </si>
  <si>
    <t xml:space="preserve">620</t>
  </si>
  <si>
    <t xml:space="preserve">Driver's Ed/PE</t>
  </si>
  <si>
    <t xml:space="preserve">631</t>
  </si>
  <si>
    <t xml:space="preserve">CPR-AED Training/PE</t>
  </si>
  <si>
    <t xml:space="preserve">642</t>
  </si>
  <si>
    <t xml:space="preserve">Nutrition &amp; Fitness/PE</t>
  </si>
  <si>
    <t xml:space="preserve">708</t>
  </si>
  <si>
    <t xml:space="preserve">Introduction to Business</t>
  </si>
  <si>
    <t xml:space="preserve">710</t>
  </si>
  <si>
    <t xml:space="preserve">World History</t>
  </si>
  <si>
    <t xml:space="preserve">711</t>
  </si>
  <si>
    <t xml:space="preserve">World History H</t>
  </si>
  <si>
    <t xml:space="preserve">713</t>
  </si>
  <si>
    <t xml:space="preserve">AP World History</t>
  </si>
  <si>
    <t xml:space="preserve">720</t>
  </si>
  <si>
    <t xml:space="preserve">U.S. History I</t>
  </si>
  <si>
    <t xml:space="preserve">721</t>
  </si>
  <si>
    <t xml:space="preserve">U.S. History I H</t>
  </si>
  <si>
    <t xml:space="preserve">722</t>
  </si>
  <si>
    <t xml:space="preserve">Adv U.S. History I H</t>
  </si>
  <si>
    <t xml:space="preserve">723</t>
  </si>
  <si>
    <t xml:space="preserve">Introduction to Political Science</t>
  </si>
  <si>
    <t xml:space="preserve">726</t>
  </si>
  <si>
    <t xml:space="preserve">Business Concepts</t>
  </si>
  <si>
    <t xml:space="preserve">727</t>
  </si>
  <si>
    <t xml:space="preserve">Sports and Entertainment Marketing</t>
  </si>
  <si>
    <t xml:space="preserve">729</t>
  </si>
  <si>
    <t xml:space="preserve">AP Business with Personal Finance</t>
  </si>
  <si>
    <t xml:space="preserve">730</t>
  </si>
  <si>
    <t xml:space="preserve">U.S. History II</t>
  </si>
  <si>
    <t xml:space="preserve">731</t>
  </si>
  <si>
    <t xml:space="preserve">U.S. History II H</t>
  </si>
  <si>
    <t xml:space="preserve">732</t>
  </si>
  <si>
    <t xml:space="preserve">Business Law</t>
  </si>
  <si>
    <t xml:space="preserve">733</t>
  </si>
  <si>
    <t xml:space="preserve">AP U.S. History</t>
  </si>
  <si>
    <t xml:space="preserve">734</t>
  </si>
  <si>
    <t xml:space="preserve">Leadership, Entrepreneurship and Opportunity Program I</t>
  </si>
  <si>
    <t xml:space="preserve">741</t>
  </si>
  <si>
    <t xml:space="preserve">Psychology</t>
  </si>
  <si>
    <t xml:space="preserve">742</t>
  </si>
  <si>
    <t xml:space="preserve">Economics</t>
  </si>
  <si>
    <t xml:space="preserve">743</t>
  </si>
  <si>
    <t xml:space="preserve">AP European History</t>
  </si>
  <si>
    <t xml:space="preserve">744</t>
  </si>
  <si>
    <t xml:space="preserve">Sociology</t>
  </si>
  <si>
    <t xml:space="preserve">745</t>
  </si>
  <si>
    <t xml:space="preserve">Leadership, Entrepreneurship and Opportunity Program II</t>
  </si>
  <si>
    <t xml:space="preserve">751</t>
  </si>
  <si>
    <t xml:space="preserve">American Government &amp; Politics</t>
  </si>
  <si>
    <t xml:space="preserve">752</t>
  </si>
  <si>
    <t xml:space="preserve">Economics H</t>
  </si>
  <si>
    <t xml:space="preserve">756</t>
  </si>
  <si>
    <t xml:space="preserve">Introduction to Law</t>
  </si>
  <si>
    <t xml:space="preserve">757</t>
  </si>
  <si>
    <t xml:space="preserve">International Business Strategies</t>
  </si>
  <si>
    <t xml:space="preserve">758</t>
  </si>
  <si>
    <t xml:space="preserve">Bloomberg Market Concepts</t>
  </si>
  <si>
    <t xml:space="preserve">761</t>
  </si>
  <si>
    <t xml:space="preserve">AP Psychology</t>
  </si>
  <si>
    <t xml:space="preserve">763</t>
  </si>
  <si>
    <t xml:space="preserve">AP U.S. Government &amp; Politics</t>
  </si>
  <si>
    <t xml:space="preserve">764</t>
  </si>
  <si>
    <t xml:space="preserve">AP Art History</t>
  </si>
  <si>
    <t xml:space="preserve">765</t>
  </si>
  <si>
    <t xml:space="preserve">AP Macroeconomics</t>
  </si>
  <si>
    <t xml:space="preserve">766</t>
  </si>
  <si>
    <t xml:space="preserve">AP Microeconomics</t>
  </si>
  <si>
    <t xml:space="preserve">810</t>
  </si>
  <si>
    <t xml:space="preserve">Theology 9</t>
  </si>
  <si>
    <t xml:space="preserve">820</t>
  </si>
  <si>
    <t xml:space="preserve">Theology 10</t>
  </si>
  <si>
    <t xml:space="preserve">830</t>
  </si>
  <si>
    <t xml:space="preserve">Theology 11</t>
  </si>
  <si>
    <t xml:space="preserve">849</t>
  </si>
  <si>
    <t xml:space="preserve">Catholic Social Teaching</t>
  </si>
  <si>
    <t xml:space="preserve">851</t>
  </si>
  <si>
    <t xml:space="preserve">Spirituality of Vocation</t>
  </si>
  <si>
    <t xml:space="preserve">955</t>
  </si>
  <si>
    <t xml:space="preserve">Academic Support</t>
  </si>
  <si>
    <t xml:space="preserve">EVERY UNFULFILLED REQUEST, WITH ITS STRUCTURAL CAUSE</t>
  </si>
  <si>
    <t xml:space="preserve">Open Seats &gt; 0 means the course had room. The request failed on a period conflict, not on capacity.</t>
  </si>
  <si>
    <t xml:space="preserve">Unmet</t>
  </si>
  <si>
    <t xml:space="preserve">Filled</t>
  </si>
  <si>
    <t xml:space="preserve">Structural Cause</t>
  </si>
  <si>
    <t xml:space="preserve">No section exists — catalogue gap</t>
  </si>
  <si>
    <t xml:space="preserve">Period conflict — seats were available</t>
  </si>
  <si>
    <t xml:space="preserve">Singleton course — one section only</t>
  </si>
  <si>
    <t xml:space="preserve">WHAT WAS DONE ABOUT THE FAILURES</t>
  </si>
  <si>
    <t xml:space="preserve">120 unfulfilled requests were tested against every section, using each student's real open periods and each section's real remaining seats.</t>
  </si>
  <si>
    <t xml:space="preserve">Recovery Route</t>
  </si>
  <si>
    <t xml:space="preserve">Disruption</t>
  </si>
  <si>
    <t xml:space="preserve">A. Direct enrolment — no schedule change needed</t>
  </si>
  <si>
    <t xml:space="preserve">Zero</t>
  </si>
  <si>
    <t xml:space="preserve">B. Student moves to another section they already hold</t>
  </si>
  <si>
    <t xml:space="preserve">Low</t>
  </si>
  <si>
    <t xml:space="preserve">C. Move an existing section to a new period or term</t>
  </si>
  <si>
    <t xml:space="preserve">None available</t>
  </si>
  <si>
    <t xml:space="preserve">D. Requires a new section</t>
  </si>
  <si>
    <t xml:space="preserve">Adds staffing</t>
  </si>
  <si>
    <t xml:space="preserve">E. Not recoverable by any of the above</t>
  </si>
  <si>
    <t xml:space="preserve">—</t>
  </si>
  <si>
    <t xml:space="preserve">TOTAL TESTED</t>
  </si>
  <si>
    <t xml:space="preserve">THE CENTRAL FINDING</t>
  </si>
  <si>
    <t xml:space="preserve">Moving existing sections does not work. All 25 candidate moves were tested for teacher availability, room availability,</t>
  </si>
  <si>
    <t xml:space="preserve">and the effect on students already enrolled. Not one is disruption-free.</t>
  </si>
  <si>
    <t xml:space="preserve">The best available move is net zero — it seats one student and displaces one. Every other move displaces more than it seats,</t>
  </si>
  <si>
    <t xml:space="preserve">in the worst case 29 students displaced to seat 1.</t>
  </si>
  <si>
    <t xml:space="preserve">The reason is that sections with open seats are open precisely because they sit at congested periods.</t>
  </si>
  <si>
    <t xml:space="preserve">Relocating them moves the congestion rather than removing it.</t>
  </si>
  <si>
    <t xml:space="preserve">WHY THIS IS EVIDENCE: an optimizer that only reports a placement rate cannot tell a school this. Knowing that the remaining</t>
  </si>
  <si>
    <t xml:space="preserve">failures are irreducible without new sections is what lets an administrator stop searching and start deciding.</t>
  </si>
  <si>
    <t xml:space="preserve">STRUCTURAL DIAGNOSTICS</t>
  </si>
  <si>
    <t xml:space="preserve">SEAT UTILISATION BY DEPARTMENT</t>
  </si>
  <si>
    <t xml:space="preserve">Department</t>
  </si>
  <si>
    <t xml:space="preserve">Fill %</t>
  </si>
  <si>
    <t xml:space="preserve">English</t>
  </si>
  <si>
    <t xml:space="preserve">Math</t>
  </si>
  <si>
    <t xml:space="preserve">Social Studies</t>
  </si>
  <si>
    <t xml:space="preserve">Theology</t>
  </si>
  <si>
    <t xml:space="preserve">Science</t>
  </si>
  <si>
    <t xml:space="preserve">Language</t>
  </si>
  <si>
    <t xml:space="preserve">Phys Ed</t>
  </si>
  <si>
    <t xml:space="preserve">Business</t>
  </si>
  <si>
    <t xml:space="preserve">Engineering</t>
  </si>
  <si>
    <t xml:space="preserve">Art</t>
  </si>
  <si>
    <t xml:space="preserve">Communication Arts</t>
  </si>
  <si>
    <t xml:space="preserve">Computer Science</t>
  </si>
  <si>
    <t xml:space="preserve">Music</t>
  </si>
  <si>
    <t xml:space="preserve">Special Ed</t>
  </si>
  <si>
    <t xml:space="preserve">Theater Arts</t>
  </si>
  <si>
    <t xml:space="preserve">THE SCHOOL IS NOT SHORT OF CAPACITY. IT IS SHORT OF CHOICE.</t>
  </si>
  <si>
    <t xml:space="preserve">Overall utilisation is 58.9%. There were 4,476 empty seats and 128 students who could not get a course.</t>
  </si>
  <si>
    <t xml:space="preserve">32 sections run at or above 95% full while 78 run under 40% and 4 are completely empty.</t>
  </si>
  <si>
    <t xml:space="preserve">Theater Arts runs 3 sections for 6 students. Music runs 8 sections for 31.</t>
  </si>
  <si>
    <t xml:space="preserve">Redirecting even half of that staffing into second sections of the bottleneck courses would clear most of the 128.</t>
  </si>
  <si>
    <t xml:space="preserve">A product that reports only a fill rate cannot surface this. A product that reports the spread can.</t>
  </si>
  <si>
    <t xml:space="preserve">HARD-CONSTRAINT COMPLIANCE</t>
  </si>
  <si>
    <t xml:space="preserve">These are constraints, not scores. A schedule failing any of them is invalid, not merely worse.</t>
  </si>
  <si>
    <t xml:space="preserve">Constraint</t>
  </si>
  <si>
    <t xml:space="preserve">Violations</t>
  </si>
  <si>
    <t xml:space="preserve">Status</t>
  </si>
  <si>
    <t xml:space="preserve">Students booked into two courses at one period</t>
  </si>
  <si>
    <t xml:space="preserve">COMPLIANT</t>
  </si>
  <si>
    <t xml:space="preserve">Teachers booked into two rooms at one period</t>
  </si>
  <si>
    <t xml:space="preserve">Genuine room double-bookings (Gymnasium excluded)</t>
  </si>
  <si>
    <t xml:space="preserve">Teachers with an S1/S2 load gap of 2 or more</t>
  </si>
  <si>
    <t xml:space="preserve">Teachers at a 6th period without written approval</t>
  </si>
  <si>
    <t xml:space="preserve">COMPLIANT — 6 teachers, all on the approved list</t>
  </si>
  <si>
    <t xml:space="preserve">Non-shared rooms used by a non-prescribed teacher</t>
  </si>
  <si>
    <t xml:space="preserve">COMPLIANT — all 6 rooms</t>
  </si>
  <si>
    <t xml:space="preserve">Sections over their capacity</t>
  </si>
  <si>
    <t xml:space="preserve">Co-scheduled blocks broken or misaligned</t>
  </si>
  <si>
    <t xml:space="preserve">COMPLIANT — all 7 blocks intact</t>
  </si>
  <si>
    <t xml:space="preserve">Prescribed room violations</t>
  </si>
  <si>
    <t xml:space="preserve">OPEN — 66 sections across 22 teachers</t>
  </si>
  <si>
    <t xml:space="preserve">Prescribed term violations</t>
  </si>
  <si>
    <t xml:space="preserve">OPEN</t>
  </si>
  <si>
    <t xml:space="preserve">Sections with no prescribed record</t>
  </si>
  <si>
    <t xml:space="preserve">Sections with zero enrolment</t>
  </si>
  <si>
    <t xml:space="preserve">OPEN — candidates to drop</t>
  </si>
  <si>
    <t xml:space="preserve">The OPEN items are reported, not hidden. That is itself part of the evidence: the build states what it did not solve.</t>
  </si>
  <si>
    <t xml:space="preserve">READ THIS BEFORE USING THE COMPARISON</t>
  </si>
  <si>
    <t xml:space="preserve">The comparison on Sheet 1 is indicative, not yet conclusive.</t>
  </si>
  <si>
    <t xml:space="preserve">98.0% and 87.3% were produced by different processes on inputs that have not been confirmed identical. Before treating the gap as</t>
  </si>
  <si>
    <t xml:space="preserve">a measured result, three things must match.</t>
  </si>
  <si>
    <t xml:space="preserve">1. The same denominator</t>
  </si>
  <si>
    <t xml:space="preserve">The Optimizer counted 6,514 unique course requests from 803 active students, after removing one student who was inactive in the</t>
  </si>
  <si>
    <t xml:space="preserve">school information system. If the Master Schedule Builder counted a different number of requests, the two percentages are not</t>
  </si>
  <si>
    <t xml:space="preserve">measuring the same thing. Confirm the request count first.</t>
  </si>
  <si>
    <t xml:space="preserve">2. The same definition of 'placed'</t>
  </si>
  <si>
    <t xml:space="preserve">The Optimizer counts a request as fulfilled only if the student holds a conflict-free seat in that course.</t>
  </si>
  <si>
    <t xml:space="preserve">A run that reports 87.3% placement alongside 833 remaining conflicts is using a looser definition — it is counting assignments,</t>
  </si>
  <si>
    <t xml:space="preserve">not valid placements. Under the Optimizer's definition those 833 would not count.</t>
  </si>
  <si>
    <t xml:space="preserve">This is the single most likely explanation for part of the gap, and it should be resolved before anything else.</t>
  </si>
  <si>
    <t xml:space="preserve">3. The same constraint set</t>
  </si>
  <si>
    <t xml:space="preserve">The Optimizer honoured prescribed terms and rooms, six non-shared rooms, approved sixth periods per term, semester load balance,</t>
  </si>
  <si>
    <t xml:space="preserve">co-scheduled block integrity, and two 18-student cohorts. A run without those constraints has an easier problem and should be</t>
  </si>
  <si>
    <t xml:space="preserve">expected to place more, not fewer, requests.</t>
  </si>
  <si>
    <t xml:space="preserve">THE TEST TO RUN</t>
  </si>
  <si>
    <t xml:space="preserve">Point the Master Schedule Builder at the same input files, with the same constraint set, and have it produce a student schedule in</t>
  </si>
  <si>
    <t xml:space="preserve">the same shape as STUDENT_SCHEDULE_CLASS_ID_MAPPED_08_11_26.xlsx. Then run the three tests on Sheet 2 against its output.</t>
  </si>
  <si>
    <t xml:space="preserve">If it returns 0 conflicts and beats 6,386 placements, the code project is better and this evidence pack should be retired.</t>
  </si>
  <si>
    <t xml:space="preserve">If it returns any conflicts at all, the placement rate is not yet comparable and the ordering model is the place to look.</t>
  </si>
  <si>
    <t xml:space="preserve">A note on honesty</t>
  </si>
  <si>
    <t xml:space="preserve">Presenting 98.0% against 87.3% without these caveats would be an unfair comparison, and a school evaluating the product would</t>
  </si>
  <si>
    <t xml:space="preserve">eventually find that out. The caveats make the evidence stronger, not weaker.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</si>
</sst>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+0.0%;\-0.0%"/>
    <numFmt numFmtId="167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name val="Aptos"/>
      <family val="0"/>
      <charset val="1"/>
    </font>
    <font>
      <b val="true"/>
      <sz val="10"/>
      <color rgb="FF1E308A"/>
      <name val="Aptos"/>
      <family val="0"/>
      <charset val="1"/>
    </font>
    <font>
      <b val="true"/>
      <sz val="11"/>
      <color rgb="FF1E308A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1"/>
      <color rgb="FFB00000"/>
      <name val="Aptos"/>
      <family val="0"/>
      <charset val="1"/>
    </font>
    <font>
      <b val="true"/>
      <sz val="10"/>
      <color rgb="FFB00000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08A"/>
        <bgColor rgb="FF003366"/>
      </patternFill>
    </fill>
    <fill>
      <patternFill patternType="solid">
        <fgColor rgb="FFF2931F"/>
        <bgColor rgb="FFFF8080"/>
      </patternFill>
    </fill>
    <fill>
      <patternFill patternType="solid">
        <fgColor rgb="FFEEF1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931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0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0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v>0.9804</v>
      </c>
      <c r="C6" s="6" t="n">
        <v>0.873</v>
      </c>
      <c r="D6" s="7" t="n">
        <f aca="false">B6-C6</f>
        <v>0.1074</v>
      </c>
      <c r="E6" s="5" t="s">
        <v>9</v>
      </c>
    </row>
    <row r="7" customFormat="false" ht="15" hidden="false" customHeight="false" outlineLevel="0" collapsed="false">
      <c r="A7" s="5" t="s">
        <v>10</v>
      </c>
      <c r="B7" s="8" t="n">
        <v>0</v>
      </c>
      <c r="C7" s="5" t="n">
        <v>833</v>
      </c>
      <c r="D7" s="5" t="n">
        <f aca="false">C7-B7</f>
        <v>833</v>
      </c>
      <c r="E7" s="5" t="s">
        <v>11</v>
      </c>
    </row>
    <row r="8" customFormat="false" ht="15" hidden="false" customHeight="false" outlineLevel="0" collapsed="false">
      <c r="A8" s="5" t="s">
        <v>12</v>
      </c>
      <c r="B8" s="5" t="n">
        <v>0</v>
      </c>
      <c r="C8" s="5" t="s">
        <v>13</v>
      </c>
      <c r="D8" s="5" t="s">
        <v>14</v>
      </c>
      <c r="E8" s="5" t="s">
        <v>15</v>
      </c>
    </row>
    <row r="9" customFormat="false" ht="15" hidden="false" customHeight="false" outlineLevel="0" collapsed="false">
      <c r="A9" s="5" t="s">
        <v>16</v>
      </c>
      <c r="B9" s="5" t="n">
        <v>0</v>
      </c>
      <c r="C9" s="5" t="s">
        <v>13</v>
      </c>
      <c r="D9" s="5" t="s">
        <v>14</v>
      </c>
      <c r="E9" s="5" t="s">
        <v>17</v>
      </c>
    </row>
    <row r="10" customFormat="false" ht="15" hidden="false" customHeight="false" outlineLevel="0" collapsed="false">
      <c r="A10" s="5" t="s">
        <v>18</v>
      </c>
      <c r="B10" s="6" t="n">
        <v>1</v>
      </c>
      <c r="C10" s="5" t="s">
        <v>13</v>
      </c>
      <c r="D10" s="5" t="s">
        <v>14</v>
      </c>
      <c r="E10" s="5" t="s">
        <v>19</v>
      </c>
    </row>
    <row r="11" customFormat="false" ht="15" hidden="false" customHeight="false" outlineLevel="0" collapsed="false">
      <c r="A11" s="5" t="s">
        <v>20</v>
      </c>
      <c r="B11" s="6" t="n">
        <v>0.854</v>
      </c>
      <c r="C11" s="5" t="s">
        <v>13</v>
      </c>
      <c r="D11" s="5" t="s">
        <v>14</v>
      </c>
      <c r="E11" s="5" t="s">
        <v>21</v>
      </c>
    </row>
    <row r="13" customFormat="false" ht="15" hidden="false" customHeight="false" outlineLevel="0" collapsed="false">
      <c r="A13" s="9" t="s">
        <v>22</v>
      </c>
    </row>
    <row r="14" customFormat="false" ht="15" hidden="false" customHeight="false" outlineLevel="0" collapsed="false">
      <c r="A14" s="5" t="s">
        <v>23</v>
      </c>
    </row>
    <row r="15" customFormat="false" ht="15" hidden="false" customHeight="false" outlineLevel="0" collapsed="false">
      <c r="A15" s="5" t="s">
        <v>24</v>
      </c>
    </row>
    <row r="16" customFormat="false" ht="15" hidden="false" customHeight="false" outlineLevel="0" collapsed="false">
      <c r="A16" s="5" t="s">
        <v>25</v>
      </c>
    </row>
    <row r="17" customFormat="false" ht="15" hidden="false" customHeight="false" outlineLevel="0" collapsed="false">
      <c r="A17" s="5" t="s">
        <v>26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 t="s">
        <v>27</v>
      </c>
    </row>
    <row r="20" customFormat="false" ht="15" hidden="false" customHeight="false" outlineLevel="0" collapsed="false">
      <c r="A20" s="5" t="s">
        <v>28</v>
      </c>
    </row>
    <row r="22" customFormat="false" ht="15" hidden="false" customHeight="false" outlineLevel="0" collapsed="false">
      <c r="A22" s="3" t="s">
        <v>29</v>
      </c>
      <c r="B22" s="3"/>
      <c r="C22" s="3"/>
      <c r="D22" s="3"/>
      <c r="E22" s="3"/>
      <c r="F22" s="3"/>
      <c r="G22" s="3"/>
      <c r="H22" s="3"/>
    </row>
    <row r="23" customFormat="false" ht="30" hidden="false" customHeight="true" outlineLevel="0" collapsed="false">
      <c r="A23" s="4" t="s">
        <v>30</v>
      </c>
      <c r="B23" s="4" t="s">
        <v>31</v>
      </c>
      <c r="C23" s="4" t="s">
        <v>32</v>
      </c>
    </row>
    <row r="24" customFormat="false" ht="15" hidden="false" customHeight="false" outlineLevel="0" collapsed="false">
      <c r="A24" s="5" t="s">
        <v>33</v>
      </c>
      <c r="B24" s="5" t="n">
        <v>803</v>
      </c>
      <c r="C24" s="5" t="s">
        <v>34</v>
      </c>
    </row>
    <row r="25" customFormat="false" ht="15" hidden="false" customHeight="false" outlineLevel="0" collapsed="false">
      <c r="A25" s="5" t="s">
        <v>35</v>
      </c>
      <c r="B25" s="5" t="n">
        <v>6426</v>
      </c>
      <c r="C25" s="5" t="s">
        <v>36</v>
      </c>
    </row>
    <row r="26" customFormat="false" ht="15" hidden="false" customHeight="false" outlineLevel="0" collapsed="false">
      <c r="A26" s="5" t="s">
        <v>37</v>
      </c>
      <c r="B26" s="5" t="n">
        <v>363</v>
      </c>
      <c r="C26" s="5" t="s">
        <v>38</v>
      </c>
    </row>
    <row r="27" customFormat="false" ht="15" hidden="false" customHeight="false" outlineLevel="0" collapsed="false">
      <c r="A27" s="5" t="s">
        <v>39</v>
      </c>
      <c r="B27" s="5" t="n">
        <v>63</v>
      </c>
      <c r="C27" s="5" t="s">
        <v>40</v>
      </c>
    </row>
    <row r="28" customFormat="false" ht="15" hidden="false" customHeight="false" outlineLevel="0" collapsed="false">
      <c r="A28" s="5" t="s">
        <v>41</v>
      </c>
      <c r="B28" s="5" t="n">
        <v>6514</v>
      </c>
      <c r="C28" s="5" t="s">
        <v>42</v>
      </c>
    </row>
    <row r="29" customFormat="false" ht="15" hidden="false" customHeight="false" outlineLevel="0" collapsed="false">
      <c r="A29" s="5" t="s">
        <v>43</v>
      </c>
      <c r="B29" s="5" t="n">
        <v>6386</v>
      </c>
      <c r="C29" s="5" t="s">
        <v>42</v>
      </c>
    </row>
    <row r="30" customFormat="false" ht="15" hidden="false" customHeight="false" outlineLevel="0" collapsed="false">
      <c r="A30" s="5" t="s">
        <v>44</v>
      </c>
      <c r="B30" s="5" t="n">
        <v>128</v>
      </c>
      <c r="C30" s="5" t="s">
        <v>42</v>
      </c>
    </row>
    <row r="31" customFormat="false" ht="15" hidden="false" customHeight="false" outlineLevel="0" collapsed="false">
      <c r="A31" s="5" t="s">
        <v>45</v>
      </c>
      <c r="B31" s="5" t="n">
        <v>173</v>
      </c>
      <c r="C31" s="5" t="s">
        <v>46</v>
      </c>
    </row>
    <row r="32" customFormat="false" ht="15" hidden="false" customHeight="false" outlineLevel="0" collapsed="false">
      <c r="A32" s="5" t="s">
        <v>47</v>
      </c>
      <c r="B32" s="5" t="n">
        <v>117</v>
      </c>
      <c r="C32" s="5" t="s">
        <v>48</v>
      </c>
    </row>
    <row r="33" customFormat="false" ht="15" hidden="false" customHeight="false" outlineLevel="0" collapsed="false">
      <c r="A33" s="10" t="s">
        <v>49</v>
      </c>
      <c r="B33" s="11" t="n">
        <f aca="false">B29/B28</f>
        <v>0.980350015351551</v>
      </c>
      <c r="C33" s="5" t="s">
        <v>50</v>
      </c>
    </row>
    <row r="35" customFormat="false" ht="15" hidden="false" customHeight="false" outlineLevel="0" collapsed="false">
      <c r="A35" s="3" t="s">
        <v>51</v>
      </c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5" t="s">
        <v>52</v>
      </c>
    </row>
    <row r="37" customFormat="false" ht="15" hidden="false" customHeight="false" outlineLevel="0" collapsed="false">
      <c r="A37" s="5" t="s">
        <v>53</v>
      </c>
    </row>
    <row r="38" customFormat="false" ht="15" hidden="false" customHeight="false" outlineLevel="0" collapsed="false">
      <c r="A38" s="5" t="s">
        <v>54</v>
      </c>
    </row>
  </sheetData>
  <mergeCells count="4">
    <mergeCell ref="A1:H1"/>
    <mergeCell ref="A4:H4"/>
    <mergeCell ref="A22:H2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8" min="2" style="0" width="14"/>
  </cols>
  <sheetData>
    <row r="1" customFormat="false" ht="24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 t="s">
        <v>56</v>
      </c>
    </row>
    <row r="4" customFormat="false" ht="15" hidden="false" customHeight="false" outlineLevel="0" collapsed="false">
      <c r="A4" s="12" t="s">
        <v>57</v>
      </c>
    </row>
    <row r="5" customFormat="false" ht="15" hidden="false" customHeight="false" outlineLevel="0" collapsed="false">
      <c r="A5" s="12" t="s">
        <v>58</v>
      </c>
    </row>
    <row r="6" customFormat="false" ht="15" hidden="false" customHeight="false" outlineLevel="0" collapsed="false">
      <c r="A6" s="12" t="s">
        <v>59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8" t="s">
        <v>60</v>
      </c>
    </row>
    <row r="9" customFormat="false" ht="15" hidden="false" customHeight="false" outlineLevel="0" collapsed="false">
      <c r="A9" s="12" t="s">
        <v>61</v>
      </c>
    </row>
    <row r="10" customFormat="false" ht="15" hidden="false" customHeight="false" outlineLevel="0" collapsed="false">
      <c r="A10" s="12" t="s">
        <v>62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8" t="s">
        <v>63</v>
      </c>
    </row>
    <row r="13" customFormat="false" ht="15" hidden="false" customHeight="false" outlineLevel="0" collapsed="false">
      <c r="A13" s="12" t="s">
        <v>64</v>
      </c>
    </row>
    <row r="14" customFormat="false" ht="15" hidden="false" customHeight="false" outlineLevel="0" collapsed="false">
      <c r="A14" s="12" t="s">
        <v>65</v>
      </c>
    </row>
    <row r="15" customFormat="false" ht="15" hidden="false" customHeight="false" outlineLevel="0" collapsed="false">
      <c r="A15" s="12" t="s">
        <v>66</v>
      </c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8" t="s">
        <v>67</v>
      </c>
    </row>
    <row r="18" customFormat="false" ht="15" hidden="false" customHeight="false" outlineLevel="0" collapsed="false">
      <c r="A18" s="12" t="s">
        <v>68</v>
      </c>
    </row>
    <row r="19" customFormat="false" ht="15" hidden="false" customHeight="false" outlineLevel="0" collapsed="false">
      <c r="A19" s="12" t="s">
        <v>69</v>
      </c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8" t="s">
        <v>70</v>
      </c>
    </row>
    <row r="22" customFormat="false" ht="15" hidden="false" customHeight="false" outlineLevel="0" collapsed="false">
      <c r="A22" s="12" t="s">
        <v>71</v>
      </c>
    </row>
    <row r="23" customFormat="false" ht="15" hidden="false" customHeight="false" outlineLevel="0" collapsed="false">
      <c r="A23" s="12" t="s">
        <v>72</v>
      </c>
    </row>
    <row r="24" customFormat="false" ht="15" hidden="false" customHeight="false" outlineLevel="0" collapsed="false">
      <c r="A24" s="12" t="s">
        <v>73</v>
      </c>
    </row>
    <row r="25" customFormat="false" ht="15" hidden="false" customHeight="false" outlineLevel="0" collapsed="false">
      <c r="A25" s="12" t="s">
        <v>74</v>
      </c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8" t="s">
        <v>75</v>
      </c>
    </row>
    <row r="28" customFormat="false" ht="15" hidden="false" customHeight="false" outlineLevel="0" collapsed="false">
      <c r="A28" s="12" t="s">
        <v>76</v>
      </c>
    </row>
    <row r="29" customFormat="false" ht="15" hidden="false" customHeight="false" outlineLevel="0" collapsed="false">
      <c r="A29" s="12" t="s">
        <v>77</v>
      </c>
    </row>
    <row r="30" customFormat="false" ht="15" hidden="false" customHeight="false" outlineLevel="0" collapsed="false">
      <c r="A30" s="12" t="s">
        <v>78</v>
      </c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8" t="s">
        <v>79</v>
      </c>
    </row>
    <row r="33" customFormat="false" ht="15" hidden="false" customHeight="false" outlineLevel="0" collapsed="false">
      <c r="A33" s="12" t="s">
        <v>80</v>
      </c>
    </row>
    <row r="34" customFormat="false" ht="15" hidden="false" customHeight="false" outlineLevel="0" collapsed="false">
      <c r="A34" s="12" t="s">
        <v>81</v>
      </c>
    </row>
    <row r="35" customFormat="false" ht="15" hidden="false" customHeight="false" outlineLevel="0" collapsed="false">
      <c r="A35" s="12" t="s">
        <v>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24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4" t="s">
        <v>91</v>
      </c>
    </row>
    <row r="4" customFormat="false" ht="15" hidden="false" customHeight="false" outlineLevel="0" collapsed="false">
      <c r="A4" s="5" t="n">
        <v>9</v>
      </c>
      <c r="B4" s="5" t="n">
        <v>215</v>
      </c>
      <c r="C4" s="5" t="n">
        <v>1710</v>
      </c>
      <c r="D4" s="5" t="n">
        <v>1708</v>
      </c>
      <c r="E4" s="5" t="n">
        <f aca="false">C4-D4</f>
        <v>2</v>
      </c>
      <c r="F4" s="6" t="n">
        <f aca="false">D4/C4</f>
        <v>0.998830409356725</v>
      </c>
      <c r="G4" s="5" t="n">
        <v>0</v>
      </c>
      <c r="H4" s="5" t="n">
        <v>0</v>
      </c>
    </row>
    <row r="5" customFormat="false" ht="15" hidden="false" customHeight="false" outlineLevel="0" collapsed="false">
      <c r="A5" s="5" t="n">
        <v>10</v>
      </c>
      <c r="B5" s="5" t="n">
        <v>221</v>
      </c>
      <c r="C5" s="5" t="n">
        <v>1681</v>
      </c>
      <c r="D5" s="5" t="n">
        <v>1657</v>
      </c>
      <c r="E5" s="5" t="n">
        <f aca="false">C5-D5</f>
        <v>24</v>
      </c>
      <c r="F5" s="6" t="n">
        <f aca="false">D5/C5</f>
        <v>0.985722784057109</v>
      </c>
      <c r="G5" s="5" t="n">
        <v>27</v>
      </c>
      <c r="H5" s="5" t="n">
        <v>24</v>
      </c>
    </row>
    <row r="6" customFormat="false" ht="15" hidden="false" customHeight="false" outlineLevel="0" collapsed="false">
      <c r="A6" s="5" t="n">
        <v>11</v>
      </c>
      <c r="B6" s="5" t="n">
        <v>202</v>
      </c>
      <c r="C6" s="5" t="n">
        <v>1545</v>
      </c>
      <c r="D6" s="5" t="n">
        <v>1516</v>
      </c>
      <c r="E6" s="5" t="n">
        <f aca="false">C6-D6</f>
        <v>29</v>
      </c>
      <c r="F6" s="6" t="n">
        <f aca="false">D6/C6</f>
        <v>0.981229773462783</v>
      </c>
      <c r="G6" s="5" t="n">
        <v>40</v>
      </c>
      <c r="H6" s="5" t="n">
        <v>32</v>
      </c>
    </row>
    <row r="7" customFormat="false" ht="15" hidden="false" customHeight="false" outlineLevel="0" collapsed="false">
      <c r="A7" s="5" t="n">
        <v>12</v>
      </c>
      <c r="B7" s="5" t="n">
        <v>165</v>
      </c>
      <c r="C7" s="5" t="n">
        <v>1570</v>
      </c>
      <c r="D7" s="5" t="n">
        <v>1505</v>
      </c>
      <c r="E7" s="5" t="n">
        <f aca="false">C7-D7</f>
        <v>65</v>
      </c>
      <c r="F7" s="6" t="n">
        <f aca="false">D7/C7</f>
        <v>0.95859872611465</v>
      </c>
      <c r="G7" s="5" t="n">
        <v>106</v>
      </c>
      <c r="H7" s="5" t="n">
        <v>61</v>
      </c>
    </row>
    <row r="8" customFormat="false" ht="15" hidden="false" customHeight="false" outlineLevel="0" collapsed="false">
      <c r="A8" s="13" t="s">
        <v>92</v>
      </c>
      <c r="B8" s="13" t="n">
        <f aca="false">SUM(B4:B7)</f>
        <v>803</v>
      </c>
      <c r="C8" s="13" t="n">
        <f aca="false">SUM(C4:C7)</f>
        <v>6506</v>
      </c>
      <c r="D8" s="13" t="n">
        <f aca="false">SUM(D4:D7)</f>
        <v>6386</v>
      </c>
      <c r="E8" s="13" t="n">
        <f aca="false">SUM(E4:E7)</f>
        <v>120</v>
      </c>
      <c r="F8" s="14" t="n">
        <f aca="false">D8/C8</f>
        <v>0.981555487242545</v>
      </c>
      <c r="G8" s="13" t="n">
        <f aca="false">SUM(G4:G7)</f>
        <v>173</v>
      </c>
      <c r="H8" s="13" t="n">
        <f aca="false">SUM(H4:H7)</f>
        <v>117</v>
      </c>
    </row>
    <row r="10" customFormat="false" ht="15" hidden="false" customHeight="false" outlineLevel="0" collapsed="false">
      <c r="A10" s="15" t="s">
        <v>93</v>
      </c>
    </row>
    <row r="11" customFormat="false" ht="15" hidden="false" customHeight="false" outlineLevel="0" collapsed="false">
      <c r="A11" s="5" t="s">
        <v>94</v>
      </c>
    </row>
    <row r="12" customFormat="false" ht="15" hidden="false" customHeight="false" outlineLevel="0" collapsed="false">
      <c r="A12" s="5" t="s">
        <v>95</v>
      </c>
    </row>
    <row r="13" customFormat="false" ht="15" hidden="false" customHeight="false" outlineLevel="0" collapsed="false">
      <c r="A13" s="5" t="s">
        <v>96</v>
      </c>
    </row>
    <row r="14" customFormat="false" ht="15" hidden="false" customHeight="false" outlineLevel="0" collapsed="false">
      <c r="A14" s="5" t="s">
        <v>97</v>
      </c>
    </row>
    <row r="15" customFormat="false" ht="15" hidden="false" customHeight="false" outlineLevel="0" collapsed="false">
      <c r="A15" s="5" t="s">
        <v>98</v>
      </c>
    </row>
    <row r="16" customFormat="false" ht="15" hidden="false" customHeight="false" outlineLevel="0" collapsed="false">
      <c r="A16" s="5" t="s">
        <v>99</v>
      </c>
    </row>
    <row r="18" customFormat="false" ht="15" hidden="false" customHeight="false" outlineLevel="0" collapsed="false">
      <c r="A18" s="2" t="s">
        <v>100</v>
      </c>
    </row>
    <row r="19" customFormat="false" ht="15" hidden="false" customHeight="false" outlineLevel="0" collapsed="false">
      <c r="A19" s="2" t="s">
        <v>101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10" min="9" style="0" width="12"/>
  </cols>
  <sheetData>
    <row r="1" customFormat="false" ht="24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4" t="s">
        <v>104</v>
      </c>
      <c r="B4" s="4" t="s">
        <v>105</v>
      </c>
      <c r="C4" s="4" t="s">
        <v>86</v>
      </c>
      <c r="D4" s="4" t="s">
        <v>87</v>
      </c>
      <c r="E4" s="4" t="s">
        <v>88</v>
      </c>
      <c r="F4" s="4" t="s">
        <v>106</v>
      </c>
      <c r="G4" s="4" t="s">
        <v>107</v>
      </c>
      <c r="H4" s="4" t="s">
        <v>108</v>
      </c>
      <c r="I4" s="4" t="s">
        <v>109</v>
      </c>
      <c r="J4" s="4" t="s">
        <v>110</v>
      </c>
    </row>
    <row r="5" customFormat="false" ht="15" hidden="false" customHeight="false" outlineLevel="0" collapsed="false">
      <c r="A5" s="5" t="s">
        <v>111</v>
      </c>
      <c r="B5" s="5" t="s">
        <v>112</v>
      </c>
      <c r="C5" s="5" t="n">
        <v>137</v>
      </c>
      <c r="D5" s="5" t="n">
        <v>136</v>
      </c>
      <c r="E5" s="5" t="n">
        <f aca="false">C5-D5</f>
        <v>1</v>
      </c>
      <c r="F5" s="6" t="n">
        <f aca="false">IF(C5=0,"",D5/C5)</f>
        <v>0.992700729927007</v>
      </c>
      <c r="G5" s="5" t="n">
        <v>6</v>
      </c>
      <c r="H5" s="5" t="n">
        <v>180</v>
      </c>
      <c r="I5" s="5" t="n">
        <v>138</v>
      </c>
      <c r="J5" s="5" t="n">
        <v>42</v>
      </c>
    </row>
    <row r="6" customFormat="false" ht="15" hidden="false" customHeight="false" outlineLevel="0" collapsed="false">
      <c r="A6" s="5" t="s">
        <v>113</v>
      </c>
      <c r="B6" s="5" t="s">
        <v>114</v>
      </c>
      <c r="C6" s="5" t="n">
        <v>67</v>
      </c>
      <c r="D6" s="5" t="n">
        <v>66</v>
      </c>
      <c r="E6" s="5" t="n">
        <f aca="false">C6-D6</f>
        <v>1</v>
      </c>
      <c r="F6" s="6" t="n">
        <f aca="false">IF(C6=0,"",D6/C6)</f>
        <v>0.985074626865672</v>
      </c>
      <c r="G6" s="5" t="n">
        <v>3</v>
      </c>
      <c r="H6" s="5" t="n">
        <v>90</v>
      </c>
      <c r="I6" s="5" t="n">
        <v>66</v>
      </c>
      <c r="J6" s="5" t="n">
        <v>24</v>
      </c>
    </row>
    <row r="7" customFormat="false" ht="15" hidden="false" customHeight="false" outlineLevel="0" collapsed="false">
      <c r="A7" s="5" t="s">
        <v>115</v>
      </c>
      <c r="B7" s="5" t="s">
        <v>112</v>
      </c>
      <c r="C7" s="5" t="n">
        <v>11</v>
      </c>
      <c r="D7" s="5" t="n">
        <v>11</v>
      </c>
      <c r="E7" s="5" t="n">
        <f aca="false">C7-D7</f>
        <v>0</v>
      </c>
      <c r="F7" s="6" t="n">
        <f aca="false">IF(C7=0,"",D7/C7)</f>
        <v>1</v>
      </c>
      <c r="G7" s="5" t="n">
        <v>1</v>
      </c>
      <c r="H7" s="5" t="n">
        <v>30</v>
      </c>
      <c r="I7" s="5" t="n">
        <v>11</v>
      </c>
      <c r="J7" s="5" t="n">
        <v>19</v>
      </c>
    </row>
    <row r="8" customFormat="false" ht="15" hidden="false" customHeight="false" outlineLevel="0" collapsed="false">
      <c r="A8" s="5" t="s">
        <v>116</v>
      </c>
      <c r="B8" s="5" t="s">
        <v>117</v>
      </c>
      <c r="C8" s="5" t="n">
        <v>87</v>
      </c>
      <c r="D8" s="5" t="n">
        <v>87</v>
      </c>
      <c r="E8" s="5" t="n">
        <f aca="false">C8-D8</f>
        <v>0</v>
      </c>
      <c r="F8" s="6" t="n">
        <f aca="false">IF(C8=0,"",D8/C8)</f>
        <v>1</v>
      </c>
      <c r="G8" s="5" t="n">
        <v>6</v>
      </c>
      <c r="H8" s="5" t="n">
        <v>180</v>
      </c>
      <c r="I8" s="5" t="n">
        <v>123</v>
      </c>
      <c r="J8" s="5" t="n">
        <v>57</v>
      </c>
    </row>
    <row r="9" customFormat="false" ht="15" hidden="false" customHeight="false" outlineLevel="0" collapsed="false">
      <c r="A9" s="5" t="s">
        <v>118</v>
      </c>
      <c r="B9" s="5" t="s">
        <v>119</v>
      </c>
      <c r="C9" s="5" t="n">
        <v>55</v>
      </c>
      <c r="D9" s="5" t="n">
        <v>55</v>
      </c>
      <c r="E9" s="5" t="n">
        <f aca="false">C9-D9</f>
        <v>0</v>
      </c>
      <c r="F9" s="6" t="n">
        <f aca="false">IF(C9=0,"",D9/C9)</f>
        <v>1</v>
      </c>
      <c r="G9" s="5" t="n">
        <v>2</v>
      </c>
      <c r="H9" s="5" t="n">
        <v>60</v>
      </c>
      <c r="I9" s="5" t="n">
        <v>55</v>
      </c>
      <c r="J9" s="5" t="n">
        <v>5</v>
      </c>
    </row>
    <row r="10" customFormat="false" ht="15" hidden="false" customHeight="false" outlineLevel="0" collapsed="false">
      <c r="A10" s="5" t="s">
        <v>120</v>
      </c>
      <c r="B10" s="5" t="s">
        <v>117</v>
      </c>
      <c r="C10" s="5" t="n">
        <v>7</v>
      </c>
      <c r="D10" s="5" t="n">
        <v>7</v>
      </c>
      <c r="E10" s="5" t="n">
        <f aca="false">C10-D10</f>
        <v>0</v>
      </c>
      <c r="F10" s="6" t="n">
        <f aca="false">IF(C10=0,"",D10/C10)</f>
        <v>1</v>
      </c>
      <c r="G10" s="5" t="n">
        <v>1</v>
      </c>
      <c r="H10" s="5" t="n">
        <v>30</v>
      </c>
      <c r="I10" s="5" t="n">
        <v>7</v>
      </c>
      <c r="J10" s="5" t="n">
        <v>23</v>
      </c>
    </row>
    <row r="11" customFormat="false" ht="15" hidden="false" customHeight="false" outlineLevel="0" collapsed="false">
      <c r="A11" s="5" t="s">
        <v>121</v>
      </c>
      <c r="B11" s="5" t="s">
        <v>122</v>
      </c>
      <c r="C11" s="5" t="n">
        <v>36</v>
      </c>
      <c r="D11" s="5" t="n">
        <v>36</v>
      </c>
      <c r="E11" s="5" t="n">
        <f aca="false">C11-D11</f>
        <v>0</v>
      </c>
      <c r="F11" s="6" t="n">
        <f aca="false">IF(C11=0,"",D11/C11)</f>
        <v>1</v>
      </c>
      <c r="G11" s="5" t="n">
        <v>2</v>
      </c>
      <c r="H11" s="5" t="n">
        <v>60</v>
      </c>
      <c r="I11" s="5" t="n">
        <v>36</v>
      </c>
      <c r="J11" s="5" t="n">
        <v>24</v>
      </c>
    </row>
    <row r="12" customFormat="false" ht="15" hidden="false" customHeight="false" outlineLevel="0" collapsed="false">
      <c r="A12" s="5" t="s">
        <v>123</v>
      </c>
      <c r="B12" s="5" t="s">
        <v>124</v>
      </c>
      <c r="C12" s="5" t="n">
        <v>85</v>
      </c>
      <c r="D12" s="5" t="n">
        <v>85</v>
      </c>
      <c r="E12" s="5" t="n">
        <f aca="false">C12-D12</f>
        <v>0</v>
      </c>
      <c r="F12" s="6" t="n">
        <f aca="false">IF(C12=0,"",D12/C12)</f>
        <v>1</v>
      </c>
      <c r="G12" s="5" t="n">
        <v>5</v>
      </c>
      <c r="H12" s="5" t="n">
        <v>150</v>
      </c>
      <c r="I12" s="5" t="n">
        <v>85</v>
      </c>
      <c r="J12" s="5" t="n">
        <v>65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5" t="n">
        <v>64</v>
      </c>
      <c r="D13" s="5" t="n">
        <v>63</v>
      </c>
      <c r="E13" s="5" t="n">
        <f aca="false">C13-D13</f>
        <v>1</v>
      </c>
      <c r="F13" s="6" t="n">
        <f aca="false">IF(C13=0,"",D13/C13)</f>
        <v>0.984375</v>
      </c>
      <c r="G13" s="5" t="n">
        <v>3</v>
      </c>
      <c r="H13" s="5" t="n">
        <v>90</v>
      </c>
      <c r="I13" s="5" t="n">
        <v>63</v>
      </c>
      <c r="J13" s="5" t="n">
        <v>27</v>
      </c>
    </row>
    <row r="14" customFormat="false" ht="15" hidden="false" customHeight="false" outlineLevel="0" collapsed="false">
      <c r="A14" s="5" t="s">
        <v>127</v>
      </c>
      <c r="B14" s="5" t="s">
        <v>124</v>
      </c>
      <c r="C14" s="5" t="n">
        <v>11</v>
      </c>
      <c r="D14" s="5" t="n">
        <v>11</v>
      </c>
      <c r="E14" s="5" t="n">
        <f aca="false">C14-D14</f>
        <v>0</v>
      </c>
      <c r="F14" s="6" t="n">
        <f aca="false">IF(C14=0,"",D14/C14)</f>
        <v>1</v>
      </c>
      <c r="G14" s="5" t="n">
        <v>1</v>
      </c>
      <c r="H14" s="5" t="n">
        <v>30</v>
      </c>
      <c r="I14" s="5" t="n">
        <v>11</v>
      </c>
      <c r="J14" s="5" t="n">
        <v>19</v>
      </c>
    </row>
    <row r="15" customFormat="false" ht="15" hidden="false" customHeight="false" outlineLevel="0" collapsed="false">
      <c r="A15" s="5" t="s">
        <v>128</v>
      </c>
      <c r="B15" s="5" t="s">
        <v>129</v>
      </c>
      <c r="C15" s="5" t="n">
        <v>43</v>
      </c>
      <c r="D15" s="5" t="n">
        <v>43</v>
      </c>
      <c r="E15" s="5" t="n">
        <f aca="false">C15-D15</f>
        <v>0</v>
      </c>
      <c r="F15" s="6" t="n">
        <f aca="false">IF(C15=0,"",D15/C15)</f>
        <v>1</v>
      </c>
      <c r="G15" s="5" t="n">
        <v>2</v>
      </c>
      <c r="H15" s="5" t="n">
        <v>60</v>
      </c>
      <c r="I15" s="5" t="n">
        <v>43</v>
      </c>
      <c r="J15" s="5" t="n">
        <v>17</v>
      </c>
    </row>
    <row r="16" customFormat="false" ht="15" hidden="false" customHeight="false" outlineLevel="0" collapsed="false">
      <c r="A16" s="5" t="s">
        <v>130</v>
      </c>
      <c r="B16" s="5" t="s">
        <v>131</v>
      </c>
      <c r="C16" s="5" t="n">
        <v>43</v>
      </c>
      <c r="D16" s="5" t="n">
        <v>43</v>
      </c>
      <c r="E16" s="5" t="n">
        <f aca="false">C16-D16</f>
        <v>0</v>
      </c>
      <c r="F16" s="6" t="n">
        <f aca="false">IF(C16=0,"",D16/C16)</f>
        <v>1</v>
      </c>
      <c r="G16" s="5" t="n">
        <v>3</v>
      </c>
      <c r="H16" s="5" t="n">
        <v>90</v>
      </c>
      <c r="I16" s="5" t="n">
        <v>43</v>
      </c>
      <c r="J16" s="5" t="n">
        <v>47</v>
      </c>
    </row>
    <row r="17" customFormat="false" ht="15" hidden="false" customHeight="false" outlineLevel="0" collapsed="false">
      <c r="A17" s="5" t="s">
        <v>132</v>
      </c>
      <c r="B17" s="5" t="s">
        <v>133</v>
      </c>
      <c r="C17" s="5" t="n">
        <v>69</v>
      </c>
      <c r="D17" s="5" t="n">
        <v>68</v>
      </c>
      <c r="E17" s="5" t="n">
        <f aca="false">C17-D17</f>
        <v>1</v>
      </c>
      <c r="F17" s="6" t="n">
        <f aca="false">IF(C17=0,"",D17/C17)</f>
        <v>0.985507246376812</v>
      </c>
      <c r="G17" s="5" t="n">
        <v>3</v>
      </c>
      <c r="H17" s="5" t="n">
        <v>90</v>
      </c>
      <c r="I17" s="5" t="n">
        <v>68</v>
      </c>
      <c r="J17" s="5" t="n">
        <v>22</v>
      </c>
    </row>
    <row r="18" customFormat="false" ht="15" hidden="false" customHeight="false" outlineLevel="0" collapsed="false">
      <c r="A18" s="5" t="s">
        <v>134</v>
      </c>
      <c r="B18" s="5" t="s">
        <v>135</v>
      </c>
      <c r="C18" s="5" t="n">
        <v>18</v>
      </c>
      <c r="D18" s="5" t="n">
        <v>15</v>
      </c>
      <c r="E18" s="5" t="n">
        <f aca="false">C18-D18</f>
        <v>3</v>
      </c>
      <c r="F18" s="6" t="n">
        <f aca="false">IF(C18=0,"",D18/C18)</f>
        <v>0.833333333333333</v>
      </c>
      <c r="G18" s="5" t="n">
        <v>1</v>
      </c>
      <c r="H18" s="5" t="n">
        <v>30</v>
      </c>
      <c r="I18" s="5" t="n">
        <v>15</v>
      </c>
      <c r="J18" s="5" t="n">
        <v>15</v>
      </c>
    </row>
    <row r="19" customFormat="false" ht="15" hidden="false" customHeight="false" outlineLevel="0" collapsed="false">
      <c r="A19" s="5" t="s">
        <v>136</v>
      </c>
      <c r="B19" s="5" t="s">
        <v>137</v>
      </c>
      <c r="C19" s="5" t="n">
        <v>45</v>
      </c>
      <c r="D19" s="5" t="n">
        <v>43</v>
      </c>
      <c r="E19" s="5" t="n">
        <f aca="false">C19-D19</f>
        <v>2</v>
      </c>
      <c r="F19" s="6" t="n">
        <f aca="false">IF(C19=0,"",D19/C19)</f>
        <v>0.955555555555556</v>
      </c>
      <c r="G19" s="5" t="n">
        <v>3</v>
      </c>
      <c r="H19" s="5" t="n">
        <v>90</v>
      </c>
      <c r="I19" s="5" t="n">
        <v>43</v>
      </c>
      <c r="J19" s="5" t="n">
        <v>47</v>
      </c>
    </row>
    <row r="20" customFormat="false" ht="15" hidden="false" customHeight="false" outlineLevel="0" collapsed="false">
      <c r="A20" s="5" t="s">
        <v>138</v>
      </c>
      <c r="B20" s="5" t="s">
        <v>139</v>
      </c>
      <c r="C20" s="5" t="n">
        <v>6</v>
      </c>
      <c r="D20" s="5" t="n">
        <v>5</v>
      </c>
      <c r="E20" s="5" t="n">
        <f aca="false">C20-D20</f>
        <v>1</v>
      </c>
      <c r="F20" s="6" t="n">
        <f aca="false">IF(C20=0,"",D20/C20)</f>
        <v>0.833333333333333</v>
      </c>
      <c r="G20" s="5" t="n">
        <v>1</v>
      </c>
      <c r="H20" s="5" t="n">
        <v>30</v>
      </c>
      <c r="I20" s="5" t="n">
        <v>5</v>
      </c>
      <c r="J20" s="5" t="n">
        <v>25</v>
      </c>
    </row>
    <row r="21" customFormat="false" ht="15" hidden="false" customHeight="false" outlineLevel="0" collapsed="false">
      <c r="A21" s="5" t="s">
        <v>140</v>
      </c>
      <c r="B21" s="5" t="s">
        <v>131</v>
      </c>
      <c r="C21" s="5" t="n">
        <v>12</v>
      </c>
      <c r="D21" s="5" t="n">
        <v>12</v>
      </c>
      <c r="E21" s="5" t="n">
        <f aca="false">C21-D21</f>
        <v>0</v>
      </c>
      <c r="F21" s="6" t="n">
        <f aca="false">IF(C21=0,"",D21/C21)</f>
        <v>1</v>
      </c>
      <c r="G21" s="5" t="n">
        <v>1</v>
      </c>
      <c r="H21" s="5" t="n">
        <v>30</v>
      </c>
      <c r="I21" s="5" t="n">
        <v>12</v>
      </c>
      <c r="J21" s="5" t="n">
        <v>18</v>
      </c>
    </row>
    <row r="22" customFormat="false" ht="15" hidden="false" customHeight="false" outlineLevel="0" collapsed="false">
      <c r="A22" s="5" t="s">
        <v>141</v>
      </c>
      <c r="B22" s="5" t="s">
        <v>142</v>
      </c>
      <c r="C22" s="5" t="n">
        <v>42</v>
      </c>
      <c r="D22" s="5" t="n">
        <v>42</v>
      </c>
      <c r="E22" s="5" t="n">
        <f aca="false">C22-D22</f>
        <v>0</v>
      </c>
      <c r="F22" s="6" t="n">
        <f aca="false">IF(C22=0,"",D22/C22)</f>
        <v>1</v>
      </c>
      <c r="G22" s="5" t="n">
        <v>2</v>
      </c>
      <c r="H22" s="5" t="n">
        <v>60</v>
      </c>
      <c r="I22" s="5" t="n">
        <v>42</v>
      </c>
      <c r="J22" s="5" t="n">
        <v>18</v>
      </c>
    </row>
    <row r="23" customFormat="false" ht="15" hidden="false" customHeight="false" outlineLevel="0" collapsed="false">
      <c r="A23" s="5" t="s">
        <v>143</v>
      </c>
      <c r="B23" s="5" t="s">
        <v>144</v>
      </c>
      <c r="C23" s="5" t="n">
        <v>3</v>
      </c>
      <c r="D23" s="5" t="n">
        <v>2</v>
      </c>
      <c r="E23" s="5" t="n">
        <f aca="false">C23-D23</f>
        <v>1</v>
      </c>
      <c r="F23" s="6" t="n">
        <f aca="false">IF(C23=0,"",D23/C23)</f>
        <v>0.666666666666667</v>
      </c>
      <c r="G23" s="5" t="n">
        <v>2</v>
      </c>
      <c r="H23" s="5" t="n">
        <v>60</v>
      </c>
      <c r="I23" s="5" t="n">
        <v>2</v>
      </c>
      <c r="J23" s="5" t="n">
        <v>58</v>
      </c>
    </row>
    <row r="24" customFormat="false" ht="15" hidden="false" customHeight="false" outlineLevel="0" collapsed="false">
      <c r="A24" s="5" t="s">
        <v>145</v>
      </c>
      <c r="B24" s="5" t="s">
        <v>146</v>
      </c>
      <c r="C24" s="5" t="n">
        <v>11</v>
      </c>
      <c r="D24" s="5" t="n">
        <v>11</v>
      </c>
      <c r="E24" s="5" t="n">
        <f aca="false">C24-D24</f>
        <v>0</v>
      </c>
      <c r="F24" s="6" t="n">
        <f aca="false">IF(C24=0,"",D24/C24)</f>
        <v>1</v>
      </c>
      <c r="G24" s="5" t="n">
        <v>2</v>
      </c>
      <c r="H24" s="5" t="n">
        <v>60</v>
      </c>
      <c r="I24" s="5" t="n">
        <v>11</v>
      </c>
      <c r="J24" s="5" t="n">
        <v>49</v>
      </c>
    </row>
    <row r="25" customFormat="false" ht="15" hidden="false" customHeight="false" outlineLevel="0" collapsed="false">
      <c r="A25" s="5" t="s">
        <v>147</v>
      </c>
      <c r="B25" s="5" t="s">
        <v>148</v>
      </c>
      <c r="C25" s="5" t="n">
        <v>10</v>
      </c>
      <c r="D25" s="5" t="n">
        <v>0</v>
      </c>
      <c r="E25" s="5" t="n">
        <f aca="false">C25-D25</f>
        <v>10</v>
      </c>
      <c r="F25" s="6" t="n">
        <f aca="false">IF(C25=0,"",D25/C25)</f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 customFormat="false" ht="15" hidden="false" customHeight="false" outlineLevel="0" collapsed="false">
      <c r="A26" s="5" t="s">
        <v>149</v>
      </c>
      <c r="B26" s="5" t="s">
        <v>150</v>
      </c>
      <c r="C26" s="5" t="n">
        <v>13</v>
      </c>
      <c r="D26" s="5" t="n">
        <v>12</v>
      </c>
      <c r="E26" s="5" t="n">
        <f aca="false">C26-D26</f>
        <v>1</v>
      </c>
      <c r="F26" s="6" t="n">
        <f aca="false">IF(C26=0,"",D26/C26)</f>
        <v>0.923076923076923</v>
      </c>
      <c r="G26" s="5" t="n">
        <v>2</v>
      </c>
      <c r="H26" s="5" t="n">
        <v>60</v>
      </c>
      <c r="I26" s="5" t="n">
        <v>12</v>
      </c>
      <c r="J26" s="5" t="n">
        <v>48</v>
      </c>
    </row>
    <row r="27" customFormat="false" ht="15" hidden="false" customHeight="false" outlineLevel="0" collapsed="false">
      <c r="A27" s="5" t="s">
        <v>151</v>
      </c>
      <c r="B27" s="5" t="s">
        <v>152</v>
      </c>
      <c r="C27" s="5" t="n">
        <v>2</v>
      </c>
      <c r="D27" s="5" t="n">
        <v>1</v>
      </c>
      <c r="E27" s="5" t="n">
        <f aca="false">C27-D27</f>
        <v>1</v>
      </c>
      <c r="F27" s="6" t="n">
        <f aca="false">IF(C27=0,"",D27/C27)</f>
        <v>0.5</v>
      </c>
      <c r="G27" s="5" t="n">
        <v>2</v>
      </c>
      <c r="H27" s="5" t="n">
        <v>60</v>
      </c>
      <c r="I27" s="5" t="n">
        <v>1</v>
      </c>
      <c r="J27" s="5" t="n">
        <v>59</v>
      </c>
    </row>
    <row r="28" customFormat="false" ht="15" hidden="false" customHeight="false" outlineLevel="0" collapsed="false">
      <c r="A28" s="5" t="s">
        <v>153</v>
      </c>
      <c r="B28" s="5" t="s">
        <v>154</v>
      </c>
      <c r="C28" s="5" t="n">
        <v>3</v>
      </c>
      <c r="D28" s="5" t="n">
        <v>3</v>
      </c>
      <c r="E28" s="5" t="n">
        <f aca="false">C28-D28</f>
        <v>0</v>
      </c>
      <c r="F28" s="6" t="n">
        <f aca="false">IF(C28=0,"",D28/C28)</f>
        <v>1</v>
      </c>
      <c r="G28" s="5" t="n">
        <v>1</v>
      </c>
      <c r="H28" s="5" t="n">
        <v>30</v>
      </c>
      <c r="I28" s="5" t="n">
        <v>3</v>
      </c>
      <c r="J28" s="5" t="n">
        <v>27</v>
      </c>
    </row>
    <row r="29" customFormat="false" ht="15" hidden="false" customHeight="false" outlineLevel="0" collapsed="false">
      <c r="A29" s="5" t="s">
        <v>155</v>
      </c>
      <c r="B29" s="5" t="s">
        <v>156</v>
      </c>
      <c r="C29" s="5" t="n">
        <v>13</v>
      </c>
      <c r="D29" s="5" t="n">
        <v>13</v>
      </c>
      <c r="E29" s="5" t="n">
        <f aca="false">C29-D29</f>
        <v>0</v>
      </c>
      <c r="F29" s="6" t="n">
        <f aca="false">IF(C29=0,"",D29/C29)</f>
        <v>1</v>
      </c>
      <c r="G29" s="5" t="n">
        <v>2</v>
      </c>
      <c r="H29" s="5" t="n">
        <v>60</v>
      </c>
      <c r="I29" s="5" t="n">
        <v>13</v>
      </c>
      <c r="J29" s="5" t="n">
        <v>47</v>
      </c>
    </row>
    <row r="30" customFormat="false" ht="15" hidden="false" customHeight="false" outlineLevel="0" collapsed="false">
      <c r="A30" s="5" t="s">
        <v>157</v>
      </c>
      <c r="B30" s="5" t="s">
        <v>158</v>
      </c>
      <c r="C30" s="5" t="n">
        <v>32</v>
      </c>
      <c r="D30" s="5" t="n">
        <v>30</v>
      </c>
      <c r="E30" s="5" t="n">
        <f aca="false">C30-D30</f>
        <v>2</v>
      </c>
      <c r="F30" s="6" t="n">
        <f aca="false">IF(C30=0,"",D30/C30)</f>
        <v>0.9375</v>
      </c>
      <c r="G30" s="5" t="n">
        <v>2</v>
      </c>
      <c r="H30" s="5" t="n">
        <v>60</v>
      </c>
      <c r="I30" s="5" t="n">
        <v>30</v>
      </c>
      <c r="J30" s="5" t="n">
        <v>30</v>
      </c>
    </row>
    <row r="31" customFormat="false" ht="15" hidden="false" customHeight="false" outlineLevel="0" collapsed="false">
      <c r="A31" s="5" t="s">
        <v>159</v>
      </c>
      <c r="B31" s="5" t="s">
        <v>160</v>
      </c>
      <c r="C31" s="5" t="n">
        <v>22</v>
      </c>
      <c r="D31" s="5" t="n">
        <v>20</v>
      </c>
      <c r="E31" s="5" t="n">
        <f aca="false">C31-D31</f>
        <v>2</v>
      </c>
      <c r="F31" s="6" t="n">
        <f aca="false">IF(C31=0,"",D31/C31)</f>
        <v>0.909090909090909</v>
      </c>
      <c r="G31" s="5" t="n">
        <v>1</v>
      </c>
      <c r="H31" s="5" t="n">
        <v>30</v>
      </c>
      <c r="I31" s="5" t="n">
        <v>20</v>
      </c>
      <c r="J31" s="5" t="n">
        <v>10</v>
      </c>
    </row>
    <row r="32" customFormat="false" ht="15" hidden="false" customHeight="false" outlineLevel="0" collapsed="false">
      <c r="A32" s="5" t="s">
        <v>161</v>
      </c>
      <c r="B32" s="5" t="s">
        <v>162</v>
      </c>
      <c r="C32" s="5" t="n">
        <v>4</v>
      </c>
      <c r="D32" s="5" t="n">
        <v>4</v>
      </c>
      <c r="E32" s="5" t="n">
        <f aca="false">C32-D32</f>
        <v>0</v>
      </c>
      <c r="F32" s="6" t="n">
        <f aca="false">IF(C32=0,"",D32/C32)</f>
        <v>1</v>
      </c>
      <c r="G32" s="5" t="n">
        <v>1</v>
      </c>
      <c r="H32" s="5" t="n">
        <v>30</v>
      </c>
      <c r="I32" s="5" t="n">
        <v>4</v>
      </c>
      <c r="J32" s="5" t="n">
        <v>26</v>
      </c>
    </row>
    <row r="33" customFormat="false" ht="15" hidden="false" customHeight="false" outlineLevel="0" collapsed="false">
      <c r="A33" s="5" t="s">
        <v>163</v>
      </c>
      <c r="B33" s="5" t="s">
        <v>164</v>
      </c>
      <c r="C33" s="5" t="n">
        <v>5</v>
      </c>
      <c r="D33" s="5" t="n">
        <v>4</v>
      </c>
      <c r="E33" s="5" t="n">
        <f aca="false">C33-D33</f>
        <v>1</v>
      </c>
      <c r="F33" s="6" t="n">
        <f aca="false">IF(C33=0,"",D33/C33)</f>
        <v>0.8</v>
      </c>
      <c r="G33" s="5" t="n">
        <v>2</v>
      </c>
      <c r="H33" s="5" t="n">
        <v>60</v>
      </c>
      <c r="I33" s="5" t="n">
        <v>4</v>
      </c>
      <c r="J33" s="5" t="n">
        <v>56</v>
      </c>
    </row>
    <row r="34" customFormat="false" ht="15" hidden="false" customHeight="false" outlineLevel="0" collapsed="false">
      <c r="A34" s="5" t="s">
        <v>165</v>
      </c>
      <c r="B34" s="5" t="s">
        <v>166</v>
      </c>
      <c r="C34" s="5" t="n">
        <v>8</v>
      </c>
      <c r="D34" s="5" t="n">
        <v>4</v>
      </c>
      <c r="E34" s="5" t="n">
        <f aca="false">C34-D34</f>
        <v>4</v>
      </c>
      <c r="F34" s="6" t="n">
        <f aca="false">IF(C34=0,"",D34/C34)</f>
        <v>0.5</v>
      </c>
      <c r="G34" s="5" t="n">
        <v>1</v>
      </c>
      <c r="H34" s="5" t="n">
        <v>30</v>
      </c>
      <c r="I34" s="5" t="n">
        <v>4</v>
      </c>
      <c r="J34" s="5" t="n">
        <v>26</v>
      </c>
    </row>
    <row r="35" customFormat="false" ht="15" hidden="false" customHeight="false" outlineLevel="0" collapsed="false">
      <c r="A35" s="5" t="s">
        <v>167</v>
      </c>
      <c r="B35" s="5" t="s">
        <v>168</v>
      </c>
      <c r="C35" s="5" t="n">
        <v>1</v>
      </c>
      <c r="D35" s="5" t="n">
        <v>1</v>
      </c>
      <c r="E35" s="5" t="n">
        <f aca="false">C35-D35</f>
        <v>0</v>
      </c>
      <c r="F35" s="6" t="n">
        <f aca="false">IF(C35=0,"",D35/C35)</f>
        <v>1</v>
      </c>
      <c r="G35" s="5" t="n">
        <v>1</v>
      </c>
      <c r="H35" s="5" t="n">
        <v>30</v>
      </c>
      <c r="I35" s="5" t="n">
        <v>1</v>
      </c>
      <c r="J35" s="5" t="n">
        <v>29</v>
      </c>
    </row>
    <row r="36" customFormat="false" ht="15" hidden="false" customHeight="false" outlineLevel="0" collapsed="false">
      <c r="A36" s="5" t="s">
        <v>169</v>
      </c>
      <c r="B36" s="5" t="s">
        <v>170</v>
      </c>
      <c r="C36" s="5" t="n">
        <v>1</v>
      </c>
      <c r="D36" s="5" t="n">
        <v>1</v>
      </c>
      <c r="E36" s="5" t="n">
        <f aca="false">C36-D36</f>
        <v>0</v>
      </c>
      <c r="F36" s="6" t="n">
        <f aca="false">IF(C36=0,"",D36/C36)</f>
        <v>1</v>
      </c>
      <c r="G36" s="5" t="n">
        <v>1</v>
      </c>
      <c r="H36" s="5" t="n">
        <v>30</v>
      </c>
      <c r="I36" s="5" t="n">
        <v>1</v>
      </c>
      <c r="J36" s="5" t="n">
        <v>29</v>
      </c>
    </row>
    <row r="37" customFormat="false" ht="15" hidden="false" customHeight="false" outlineLevel="0" collapsed="false">
      <c r="A37" s="5" t="s">
        <v>171</v>
      </c>
      <c r="B37" s="5" t="s">
        <v>172</v>
      </c>
      <c r="C37" s="5" t="n">
        <v>26</v>
      </c>
      <c r="D37" s="5" t="n">
        <v>23</v>
      </c>
      <c r="E37" s="5" t="n">
        <f aca="false">C37-D37</f>
        <v>3</v>
      </c>
      <c r="F37" s="6" t="n">
        <f aca="false">IF(C37=0,"",D37/C37)</f>
        <v>0.884615384615385</v>
      </c>
      <c r="G37" s="5" t="n">
        <v>2</v>
      </c>
      <c r="H37" s="5" t="n">
        <v>60</v>
      </c>
      <c r="I37" s="5" t="n">
        <v>23</v>
      </c>
      <c r="J37" s="5" t="n">
        <v>37</v>
      </c>
    </row>
    <row r="38" customFormat="false" ht="15" hidden="false" customHeight="false" outlineLevel="0" collapsed="false">
      <c r="A38" s="5" t="s">
        <v>173</v>
      </c>
      <c r="B38" s="5" t="s">
        <v>174</v>
      </c>
      <c r="C38" s="5" t="n">
        <v>17</v>
      </c>
      <c r="D38" s="5" t="n">
        <v>13</v>
      </c>
      <c r="E38" s="5" t="n">
        <f aca="false">C38-D38</f>
        <v>4</v>
      </c>
      <c r="F38" s="6" t="n">
        <f aca="false">IF(C38=0,"",D38/C38)</f>
        <v>0.764705882352941</v>
      </c>
      <c r="G38" s="5" t="n">
        <v>1</v>
      </c>
      <c r="H38" s="5" t="n">
        <v>30</v>
      </c>
      <c r="I38" s="5" t="n">
        <v>13</v>
      </c>
      <c r="J38" s="5" t="n">
        <v>17</v>
      </c>
    </row>
    <row r="39" customFormat="false" ht="15" hidden="false" customHeight="false" outlineLevel="0" collapsed="false">
      <c r="A39" s="5" t="s">
        <v>175</v>
      </c>
      <c r="B39" s="5" t="s">
        <v>176</v>
      </c>
      <c r="C39" s="5" t="n">
        <v>5</v>
      </c>
      <c r="D39" s="5" t="n">
        <v>0</v>
      </c>
      <c r="E39" s="5" t="n">
        <f aca="false">C39-D39</f>
        <v>5</v>
      </c>
      <c r="F39" s="6" t="n">
        <f aca="false">IF(C39=0,"",D39/C39)</f>
        <v>0</v>
      </c>
      <c r="G39" s="5" t="n">
        <v>1</v>
      </c>
      <c r="H39" s="5" t="n">
        <v>30</v>
      </c>
      <c r="I39" s="5" t="n">
        <v>0</v>
      </c>
      <c r="J39" s="5" t="n">
        <v>30</v>
      </c>
    </row>
    <row r="40" customFormat="false" ht="15" hidden="false" customHeight="false" outlineLevel="0" collapsed="false">
      <c r="A40" s="5" t="s">
        <v>177</v>
      </c>
      <c r="B40" s="5" t="s">
        <v>178</v>
      </c>
      <c r="C40" s="5" t="n">
        <v>5</v>
      </c>
      <c r="D40" s="5" t="n">
        <v>4</v>
      </c>
      <c r="E40" s="5" t="n">
        <f aca="false">C40-D40</f>
        <v>1</v>
      </c>
      <c r="F40" s="6" t="n">
        <f aca="false">IF(C40=0,"",D40/C40)</f>
        <v>0.8</v>
      </c>
      <c r="G40" s="5" t="n">
        <v>1</v>
      </c>
      <c r="H40" s="5" t="n">
        <v>30</v>
      </c>
      <c r="I40" s="5" t="n">
        <v>4</v>
      </c>
      <c r="J40" s="5" t="n">
        <v>26</v>
      </c>
    </row>
    <row r="41" customFormat="false" ht="15" hidden="false" customHeight="false" outlineLevel="0" collapsed="false">
      <c r="A41" s="5" t="s">
        <v>179</v>
      </c>
      <c r="B41" s="5" t="s">
        <v>180</v>
      </c>
      <c r="C41" s="5" t="n">
        <v>4</v>
      </c>
      <c r="D41" s="5" t="n">
        <v>4</v>
      </c>
      <c r="E41" s="5" t="n">
        <f aca="false">C41-D41</f>
        <v>0</v>
      </c>
      <c r="F41" s="6" t="n">
        <f aca="false">IF(C41=0,"",D41/C41)</f>
        <v>1</v>
      </c>
      <c r="G41" s="5" t="n">
        <v>1</v>
      </c>
      <c r="H41" s="5" t="n">
        <v>30</v>
      </c>
      <c r="I41" s="5" t="n">
        <v>4</v>
      </c>
      <c r="J41" s="5" t="n">
        <v>26</v>
      </c>
    </row>
    <row r="42" customFormat="false" ht="15" hidden="false" customHeight="false" outlineLevel="0" collapsed="false">
      <c r="A42" s="5" t="s">
        <v>181</v>
      </c>
      <c r="B42" s="5" t="s">
        <v>182</v>
      </c>
      <c r="C42" s="5" t="n">
        <v>2</v>
      </c>
      <c r="D42" s="5" t="n">
        <v>2</v>
      </c>
      <c r="E42" s="5" t="n">
        <f aca="false">C42-D42</f>
        <v>0</v>
      </c>
      <c r="F42" s="6" t="n">
        <f aca="false">IF(C42=0,"",D42/C42)</f>
        <v>1</v>
      </c>
      <c r="G42" s="5" t="n">
        <v>1</v>
      </c>
      <c r="H42" s="5" t="n">
        <v>30</v>
      </c>
      <c r="I42" s="5" t="n">
        <v>2</v>
      </c>
      <c r="J42" s="5" t="n">
        <v>28</v>
      </c>
    </row>
    <row r="43" customFormat="false" ht="15" hidden="false" customHeight="false" outlineLevel="0" collapsed="false">
      <c r="A43" s="5" t="s">
        <v>183</v>
      </c>
      <c r="B43" s="5" t="s">
        <v>184</v>
      </c>
      <c r="C43" s="5" t="n">
        <v>2</v>
      </c>
      <c r="D43" s="5" t="n">
        <v>2</v>
      </c>
      <c r="E43" s="5" t="n">
        <f aca="false">C43-D43</f>
        <v>0</v>
      </c>
      <c r="F43" s="6" t="n">
        <f aca="false">IF(C43=0,"",D43/C43)</f>
        <v>1</v>
      </c>
      <c r="G43" s="5" t="n">
        <v>1</v>
      </c>
      <c r="H43" s="5" t="n">
        <v>30</v>
      </c>
      <c r="I43" s="5" t="n">
        <v>2</v>
      </c>
      <c r="J43" s="5" t="n">
        <v>28</v>
      </c>
    </row>
    <row r="44" customFormat="false" ht="15" hidden="false" customHeight="false" outlineLevel="0" collapsed="false">
      <c r="A44" s="5" t="s">
        <v>185</v>
      </c>
      <c r="B44" s="5" t="s">
        <v>186</v>
      </c>
      <c r="C44" s="5" t="n">
        <v>2</v>
      </c>
      <c r="D44" s="5" t="n">
        <v>2</v>
      </c>
      <c r="E44" s="5" t="n">
        <f aca="false">C44-D44</f>
        <v>0</v>
      </c>
      <c r="F44" s="6" t="n">
        <f aca="false">IF(C44=0,"",D44/C44)</f>
        <v>1</v>
      </c>
      <c r="G44" s="5" t="n">
        <v>1</v>
      </c>
      <c r="H44" s="5" t="n">
        <v>30</v>
      </c>
      <c r="I44" s="5" t="n">
        <v>2</v>
      </c>
      <c r="J44" s="5" t="n">
        <v>28</v>
      </c>
    </row>
    <row r="45" customFormat="false" ht="15" hidden="false" customHeight="false" outlineLevel="0" collapsed="false">
      <c r="A45" s="5" t="s">
        <v>187</v>
      </c>
      <c r="B45" s="5" t="s">
        <v>188</v>
      </c>
      <c r="C45" s="5" t="n">
        <v>122</v>
      </c>
      <c r="D45" s="5" t="n">
        <v>121</v>
      </c>
      <c r="E45" s="5" t="n">
        <f aca="false">C45-D45</f>
        <v>1</v>
      </c>
      <c r="F45" s="6" t="n">
        <f aca="false">IF(C45=0,"",D45/C45)</f>
        <v>0.991803278688525</v>
      </c>
      <c r="G45" s="5" t="n">
        <v>5</v>
      </c>
      <c r="H45" s="5" t="n">
        <v>150</v>
      </c>
      <c r="I45" s="5" t="n">
        <v>121</v>
      </c>
      <c r="J45" s="5" t="n">
        <v>29</v>
      </c>
    </row>
    <row r="46" customFormat="false" ht="15" hidden="false" customHeight="false" outlineLevel="0" collapsed="false">
      <c r="A46" s="5" t="s">
        <v>189</v>
      </c>
      <c r="B46" s="5" t="s">
        <v>190</v>
      </c>
      <c r="C46" s="5" t="n">
        <v>24</v>
      </c>
      <c r="D46" s="5" t="n">
        <v>24</v>
      </c>
      <c r="E46" s="5" t="n">
        <f aca="false">C46-D46</f>
        <v>0</v>
      </c>
      <c r="F46" s="6" t="n">
        <f aca="false">IF(C46=0,"",D46/C46)</f>
        <v>1</v>
      </c>
      <c r="G46" s="5" t="n">
        <v>1</v>
      </c>
      <c r="H46" s="5" t="n">
        <v>30</v>
      </c>
      <c r="I46" s="5" t="n">
        <v>24</v>
      </c>
      <c r="J46" s="5" t="n">
        <v>6</v>
      </c>
    </row>
    <row r="47" customFormat="false" ht="15" hidden="false" customHeight="false" outlineLevel="0" collapsed="false">
      <c r="A47" s="5" t="s">
        <v>191</v>
      </c>
      <c r="B47" s="5" t="s">
        <v>192</v>
      </c>
      <c r="C47" s="5" t="n">
        <v>40</v>
      </c>
      <c r="D47" s="5" t="n">
        <v>40</v>
      </c>
      <c r="E47" s="5" t="n">
        <f aca="false">C47-D47</f>
        <v>0</v>
      </c>
      <c r="F47" s="6" t="n">
        <f aca="false">IF(C47=0,"",D47/C47)</f>
        <v>1</v>
      </c>
      <c r="G47" s="5" t="n">
        <v>2</v>
      </c>
      <c r="H47" s="5" t="n">
        <v>60</v>
      </c>
      <c r="I47" s="5" t="n">
        <v>40</v>
      </c>
      <c r="J47" s="5" t="n">
        <v>20</v>
      </c>
    </row>
    <row r="48" customFormat="false" ht="15" hidden="false" customHeight="false" outlineLevel="0" collapsed="false">
      <c r="A48" s="5" t="s">
        <v>193</v>
      </c>
      <c r="B48" s="5" t="s">
        <v>194</v>
      </c>
      <c r="C48" s="5" t="n">
        <v>25</v>
      </c>
      <c r="D48" s="5" t="n">
        <v>25</v>
      </c>
      <c r="E48" s="5" t="n">
        <f aca="false">C48-D48</f>
        <v>0</v>
      </c>
      <c r="F48" s="6" t="n">
        <f aca="false">IF(C48=0,"",D48/C48)</f>
        <v>1</v>
      </c>
      <c r="G48" s="5" t="n">
        <v>1</v>
      </c>
      <c r="H48" s="5" t="n">
        <v>30</v>
      </c>
      <c r="I48" s="5" t="n">
        <v>25</v>
      </c>
      <c r="J48" s="5" t="n">
        <v>5</v>
      </c>
    </row>
    <row r="49" customFormat="false" ht="15" hidden="false" customHeight="false" outlineLevel="0" collapsed="false">
      <c r="A49" s="5" t="s">
        <v>195</v>
      </c>
      <c r="B49" s="5" t="s">
        <v>196</v>
      </c>
      <c r="C49" s="5" t="n">
        <v>83</v>
      </c>
      <c r="D49" s="5" t="n">
        <v>83</v>
      </c>
      <c r="E49" s="5" t="n">
        <f aca="false">C49-D49</f>
        <v>0</v>
      </c>
      <c r="F49" s="6" t="n">
        <f aca="false">IF(C49=0,"",D49/C49)</f>
        <v>1</v>
      </c>
      <c r="G49" s="5" t="n">
        <v>4</v>
      </c>
      <c r="H49" s="5" t="n">
        <v>120</v>
      </c>
      <c r="I49" s="5" t="n">
        <v>83</v>
      </c>
      <c r="J49" s="5" t="n">
        <v>37</v>
      </c>
    </row>
    <row r="50" customFormat="false" ht="15" hidden="false" customHeight="false" outlineLevel="0" collapsed="false">
      <c r="A50" s="5" t="s">
        <v>197</v>
      </c>
      <c r="B50" s="5" t="s">
        <v>198</v>
      </c>
      <c r="C50" s="5" t="n">
        <v>50</v>
      </c>
      <c r="D50" s="5" t="n">
        <v>50</v>
      </c>
      <c r="E50" s="5" t="n">
        <f aca="false">C50-D50</f>
        <v>0</v>
      </c>
      <c r="F50" s="6" t="n">
        <f aca="false">IF(C50=0,"",D50/C50)</f>
        <v>1</v>
      </c>
      <c r="G50" s="5" t="n">
        <v>2</v>
      </c>
      <c r="H50" s="5" t="n">
        <v>60</v>
      </c>
      <c r="I50" s="5" t="n">
        <v>50</v>
      </c>
      <c r="J50" s="5" t="n">
        <v>10</v>
      </c>
    </row>
    <row r="51" customFormat="false" ht="15" hidden="false" customHeight="false" outlineLevel="0" collapsed="false">
      <c r="A51" s="5" t="s">
        <v>199</v>
      </c>
      <c r="B51" s="5" t="s">
        <v>200</v>
      </c>
      <c r="C51" s="5" t="n">
        <v>36</v>
      </c>
      <c r="D51" s="5" t="n">
        <v>36</v>
      </c>
      <c r="E51" s="5" t="n">
        <f aca="false">C51-D51</f>
        <v>0</v>
      </c>
      <c r="F51" s="6" t="n">
        <f aca="false">IF(C51=0,"",D51/C51)</f>
        <v>1</v>
      </c>
      <c r="G51" s="5" t="n">
        <v>2</v>
      </c>
      <c r="H51" s="5" t="n">
        <v>60</v>
      </c>
      <c r="I51" s="5" t="n">
        <v>36</v>
      </c>
      <c r="J51" s="5" t="n">
        <v>24</v>
      </c>
    </row>
    <row r="52" customFormat="false" ht="15" hidden="false" customHeight="false" outlineLevel="0" collapsed="false">
      <c r="A52" s="5" t="s">
        <v>201</v>
      </c>
      <c r="B52" s="5" t="s">
        <v>202</v>
      </c>
      <c r="C52" s="5" t="n">
        <v>17</v>
      </c>
      <c r="D52" s="5" t="n">
        <v>17</v>
      </c>
      <c r="E52" s="5" t="n">
        <f aca="false">C52-D52</f>
        <v>0</v>
      </c>
      <c r="F52" s="6" t="n">
        <f aca="false">IF(C52=0,"",D52/C52)</f>
        <v>1</v>
      </c>
      <c r="G52" s="5" t="n">
        <v>1</v>
      </c>
      <c r="H52" s="5" t="n">
        <v>30</v>
      </c>
      <c r="I52" s="5" t="n">
        <v>17</v>
      </c>
      <c r="J52" s="5" t="n">
        <v>13</v>
      </c>
    </row>
    <row r="53" customFormat="false" ht="15" hidden="false" customHeight="false" outlineLevel="0" collapsed="false">
      <c r="A53" s="5" t="s">
        <v>203</v>
      </c>
      <c r="B53" s="5" t="s">
        <v>204</v>
      </c>
      <c r="C53" s="5" t="n">
        <v>24</v>
      </c>
      <c r="D53" s="5" t="n">
        <v>24</v>
      </c>
      <c r="E53" s="5" t="n">
        <f aca="false">C53-D53</f>
        <v>0</v>
      </c>
      <c r="F53" s="6" t="n">
        <f aca="false">IF(C53=0,"",D53/C53)</f>
        <v>1</v>
      </c>
      <c r="G53" s="5" t="n">
        <v>1</v>
      </c>
      <c r="H53" s="5" t="n">
        <v>30</v>
      </c>
      <c r="I53" s="5" t="n">
        <v>24</v>
      </c>
      <c r="J53" s="5" t="n">
        <v>6</v>
      </c>
    </row>
    <row r="54" customFormat="false" ht="15" hidden="false" customHeight="false" outlineLevel="0" collapsed="false">
      <c r="A54" s="5" t="s">
        <v>205</v>
      </c>
      <c r="B54" s="5" t="s">
        <v>206</v>
      </c>
      <c r="C54" s="5" t="n">
        <v>48</v>
      </c>
      <c r="D54" s="5" t="n">
        <v>48</v>
      </c>
      <c r="E54" s="5" t="n">
        <f aca="false">C54-D54</f>
        <v>0</v>
      </c>
      <c r="F54" s="6" t="n">
        <f aca="false">IF(C54=0,"",D54/C54)</f>
        <v>1</v>
      </c>
      <c r="G54" s="5" t="n">
        <v>3</v>
      </c>
      <c r="H54" s="5" t="n">
        <v>90</v>
      </c>
      <c r="I54" s="5" t="n">
        <v>48</v>
      </c>
      <c r="J54" s="5" t="n">
        <v>42</v>
      </c>
    </row>
    <row r="55" customFormat="false" ht="15" hidden="false" customHeight="false" outlineLevel="0" collapsed="false">
      <c r="A55" s="5" t="s">
        <v>207</v>
      </c>
      <c r="B55" s="5" t="s">
        <v>208</v>
      </c>
      <c r="C55" s="5" t="n">
        <v>75</v>
      </c>
      <c r="D55" s="5" t="n">
        <v>75</v>
      </c>
      <c r="E55" s="5" t="n">
        <f aca="false">C55-D55</f>
        <v>0</v>
      </c>
      <c r="F55" s="6" t="n">
        <f aca="false">IF(C55=0,"",D55/C55)</f>
        <v>1</v>
      </c>
      <c r="G55" s="5" t="n">
        <v>3</v>
      </c>
      <c r="H55" s="5" t="n">
        <v>90</v>
      </c>
      <c r="I55" s="5" t="n">
        <v>75</v>
      </c>
      <c r="J55" s="5" t="n">
        <v>15</v>
      </c>
    </row>
    <row r="56" customFormat="false" ht="15" hidden="false" customHeight="false" outlineLevel="0" collapsed="false">
      <c r="A56" s="5" t="s">
        <v>209</v>
      </c>
      <c r="B56" s="5" t="s">
        <v>210</v>
      </c>
      <c r="C56" s="5" t="n">
        <v>21</v>
      </c>
      <c r="D56" s="5" t="n">
        <v>21</v>
      </c>
      <c r="E56" s="5" t="n">
        <f aca="false">C56-D56</f>
        <v>0</v>
      </c>
      <c r="F56" s="6" t="n">
        <f aca="false">IF(C56=0,"",D56/C56)</f>
        <v>1</v>
      </c>
      <c r="G56" s="5" t="n">
        <v>1</v>
      </c>
      <c r="H56" s="5" t="n">
        <v>30</v>
      </c>
      <c r="I56" s="5" t="n">
        <v>21</v>
      </c>
      <c r="J56" s="5" t="n">
        <v>9</v>
      </c>
    </row>
    <row r="57" customFormat="false" ht="15" hidden="false" customHeight="false" outlineLevel="0" collapsed="false">
      <c r="A57" s="5" t="s">
        <v>211</v>
      </c>
      <c r="B57" s="5" t="s">
        <v>212</v>
      </c>
      <c r="C57" s="5" t="n">
        <v>11</v>
      </c>
      <c r="D57" s="5" t="n">
        <v>11</v>
      </c>
      <c r="E57" s="5" t="n">
        <f aca="false">C57-D57</f>
        <v>0</v>
      </c>
      <c r="F57" s="6" t="n">
        <f aca="false">IF(C57=0,"",D57/C57)</f>
        <v>1</v>
      </c>
      <c r="G57" s="5" t="n">
        <v>1</v>
      </c>
      <c r="H57" s="5" t="n">
        <v>30</v>
      </c>
      <c r="I57" s="5" t="n">
        <v>11</v>
      </c>
      <c r="J57" s="5" t="n">
        <v>19</v>
      </c>
    </row>
    <row r="58" customFormat="false" ht="15" hidden="false" customHeight="false" outlineLevel="0" collapsed="false">
      <c r="A58" s="5" t="s">
        <v>213</v>
      </c>
      <c r="B58" s="5" t="s">
        <v>214</v>
      </c>
      <c r="C58" s="5" t="n">
        <v>30</v>
      </c>
      <c r="D58" s="5" t="n">
        <v>30</v>
      </c>
      <c r="E58" s="5" t="n">
        <f aca="false">C58-D58</f>
        <v>0</v>
      </c>
      <c r="F58" s="6" t="n">
        <f aca="false">IF(C58=0,"",D58/C58)</f>
        <v>1</v>
      </c>
      <c r="G58" s="5" t="n">
        <v>1</v>
      </c>
      <c r="H58" s="5" t="n">
        <v>30</v>
      </c>
      <c r="I58" s="5" t="n">
        <v>30</v>
      </c>
      <c r="J58" s="5" t="n">
        <v>0</v>
      </c>
    </row>
    <row r="59" customFormat="false" ht="15" hidden="false" customHeight="false" outlineLevel="0" collapsed="false">
      <c r="A59" s="5" t="s">
        <v>215</v>
      </c>
      <c r="B59" s="5" t="s">
        <v>216</v>
      </c>
      <c r="C59" s="5" t="n">
        <v>31</v>
      </c>
      <c r="D59" s="5" t="n">
        <v>31</v>
      </c>
      <c r="E59" s="5" t="n">
        <f aca="false">C59-D59</f>
        <v>0</v>
      </c>
      <c r="F59" s="6" t="n">
        <f aca="false">IF(C59=0,"",D59/C59)</f>
        <v>1</v>
      </c>
      <c r="G59" s="5" t="n">
        <v>2</v>
      </c>
      <c r="H59" s="5" t="n">
        <v>60</v>
      </c>
      <c r="I59" s="5" t="n">
        <v>31</v>
      </c>
      <c r="J59" s="5" t="n">
        <v>29</v>
      </c>
    </row>
    <row r="60" customFormat="false" ht="15" hidden="false" customHeight="false" outlineLevel="0" collapsed="false">
      <c r="A60" s="5" t="s">
        <v>217</v>
      </c>
      <c r="B60" s="5" t="s">
        <v>218</v>
      </c>
      <c r="C60" s="5" t="n">
        <v>7</v>
      </c>
      <c r="D60" s="5" t="n">
        <v>5</v>
      </c>
      <c r="E60" s="5" t="n">
        <f aca="false">C60-D60</f>
        <v>2</v>
      </c>
      <c r="F60" s="6" t="n">
        <f aca="false">IF(C60=0,"",D60/C60)</f>
        <v>0.714285714285714</v>
      </c>
      <c r="G60" s="5" t="n">
        <v>1</v>
      </c>
      <c r="H60" s="5" t="n">
        <v>30</v>
      </c>
      <c r="I60" s="5" t="n">
        <v>5</v>
      </c>
      <c r="J60" s="5" t="n">
        <v>25</v>
      </c>
    </row>
    <row r="61" customFormat="false" ht="15" hidden="false" customHeight="false" outlineLevel="0" collapsed="false">
      <c r="A61" s="5" t="s">
        <v>219</v>
      </c>
      <c r="B61" s="5" t="s">
        <v>220</v>
      </c>
      <c r="C61" s="5" t="n">
        <v>23</v>
      </c>
      <c r="D61" s="5" t="n">
        <v>22</v>
      </c>
      <c r="E61" s="5" t="n">
        <f aca="false">C61-D61</f>
        <v>1</v>
      </c>
      <c r="F61" s="6" t="n">
        <f aca="false">IF(C61=0,"",D61/C61)</f>
        <v>0.956521739130435</v>
      </c>
      <c r="G61" s="5" t="n">
        <v>1</v>
      </c>
      <c r="H61" s="5" t="n">
        <v>30</v>
      </c>
      <c r="I61" s="5" t="n">
        <v>22</v>
      </c>
      <c r="J61" s="5" t="n">
        <v>8</v>
      </c>
    </row>
    <row r="62" customFormat="false" ht="15" hidden="false" customHeight="false" outlineLevel="0" collapsed="false">
      <c r="A62" s="5" t="s">
        <v>221</v>
      </c>
      <c r="B62" s="5" t="s">
        <v>222</v>
      </c>
      <c r="C62" s="5" t="n">
        <v>105</v>
      </c>
      <c r="D62" s="5" t="n">
        <v>104</v>
      </c>
      <c r="E62" s="5" t="n">
        <f aca="false">C62-D62</f>
        <v>1</v>
      </c>
      <c r="F62" s="6" t="n">
        <f aca="false">IF(C62=0,"",D62/C62)</f>
        <v>0.990476190476191</v>
      </c>
      <c r="G62" s="5" t="n">
        <v>6</v>
      </c>
      <c r="H62" s="5" t="n">
        <v>180</v>
      </c>
      <c r="I62" s="5" t="n">
        <v>104</v>
      </c>
      <c r="J62" s="5" t="n">
        <v>76</v>
      </c>
    </row>
    <row r="63" customFormat="false" ht="15" hidden="false" customHeight="false" outlineLevel="0" collapsed="false">
      <c r="A63" s="5" t="s">
        <v>223</v>
      </c>
      <c r="B63" s="5" t="s">
        <v>224</v>
      </c>
      <c r="C63" s="5" t="n">
        <v>15</v>
      </c>
      <c r="D63" s="5" t="n">
        <v>15</v>
      </c>
      <c r="E63" s="5" t="n">
        <f aca="false">C63-D63</f>
        <v>0</v>
      </c>
      <c r="F63" s="6" t="n">
        <f aca="false">IF(C63=0,"",D63/C63)</f>
        <v>1</v>
      </c>
      <c r="G63" s="5" t="n">
        <v>1</v>
      </c>
      <c r="H63" s="5" t="n">
        <v>30</v>
      </c>
      <c r="I63" s="5" t="n">
        <v>15</v>
      </c>
      <c r="J63" s="5" t="n">
        <v>15</v>
      </c>
    </row>
    <row r="64" customFormat="false" ht="15" hidden="false" customHeight="false" outlineLevel="0" collapsed="false">
      <c r="A64" s="5" t="s">
        <v>225</v>
      </c>
      <c r="B64" s="5" t="s">
        <v>222</v>
      </c>
      <c r="C64" s="5" t="n">
        <v>31</v>
      </c>
      <c r="D64" s="5" t="n">
        <v>31</v>
      </c>
      <c r="E64" s="5" t="n">
        <f aca="false">C64-D64</f>
        <v>0</v>
      </c>
      <c r="F64" s="6" t="n">
        <f aca="false">IF(C64=0,"",D64/C64)</f>
        <v>1</v>
      </c>
      <c r="G64" s="5" t="n">
        <v>3</v>
      </c>
      <c r="H64" s="5" t="n">
        <v>90</v>
      </c>
      <c r="I64" s="5" t="n">
        <v>31</v>
      </c>
      <c r="J64" s="5" t="n">
        <v>59</v>
      </c>
    </row>
    <row r="65" customFormat="false" ht="15" hidden="false" customHeight="false" outlineLevel="0" collapsed="false">
      <c r="A65" s="5" t="s">
        <v>226</v>
      </c>
      <c r="B65" s="5" t="s">
        <v>227</v>
      </c>
      <c r="C65" s="5" t="n">
        <v>93</v>
      </c>
      <c r="D65" s="5" t="n">
        <v>93</v>
      </c>
      <c r="E65" s="5" t="n">
        <f aca="false">C65-D65</f>
        <v>0</v>
      </c>
      <c r="F65" s="6" t="n">
        <f aca="false">IF(C65=0,"",D65/C65)</f>
        <v>1</v>
      </c>
      <c r="G65" s="5" t="n">
        <v>5</v>
      </c>
      <c r="H65" s="5" t="n">
        <v>150</v>
      </c>
      <c r="I65" s="5" t="n">
        <v>93</v>
      </c>
      <c r="J65" s="5" t="n">
        <v>57</v>
      </c>
    </row>
    <row r="66" customFormat="false" ht="15" hidden="false" customHeight="false" outlineLevel="0" collapsed="false">
      <c r="A66" s="5" t="s">
        <v>228</v>
      </c>
      <c r="B66" s="5" t="s">
        <v>229</v>
      </c>
      <c r="C66" s="5" t="n">
        <v>59</v>
      </c>
      <c r="D66" s="5" t="n">
        <v>59</v>
      </c>
      <c r="E66" s="5" t="n">
        <f aca="false">C66-D66</f>
        <v>0</v>
      </c>
      <c r="F66" s="6" t="n">
        <f aca="false">IF(C66=0,"",D66/C66)</f>
        <v>1</v>
      </c>
      <c r="G66" s="5" t="n">
        <v>3</v>
      </c>
      <c r="H66" s="5" t="n">
        <v>90</v>
      </c>
      <c r="I66" s="5" t="n">
        <v>59</v>
      </c>
      <c r="J66" s="5" t="n">
        <v>31</v>
      </c>
    </row>
    <row r="67" customFormat="false" ht="15" hidden="false" customHeight="false" outlineLevel="0" collapsed="false">
      <c r="A67" s="5" t="s">
        <v>230</v>
      </c>
      <c r="B67" s="5" t="s">
        <v>227</v>
      </c>
      <c r="C67" s="5" t="n">
        <v>26</v>
      </c>
      <c r="D67" s="5" t="n">
        <v>26</v>
      </c>
      <c r="E67" s="5" t="n">
        <f aca="false">C67-D67</f>
        <v>0</v>
      </c>
      <c r="F67" s="6" t="n">
        <f aca="false">IF(C67=0,"",D67/C67)</f>
        <v>1</v>
      </c>
      <c r="G67" s="5" t="n">
        <v>2</v>
      </c>
      <c r="H67" s="5" t="n">
        <v>60</v>
      </c>
      <c r="I67" s="5" t="n">
        <v>26</v>
      </c>
      <c r="J67" s="5" t="n">
        <v>34</v>
      </c>
    </row>
    <row r="68" customFormat="false" ht="15" hidden="false" customHeight="false" outlineLevel="0" collapsed="false">
      <c r="A68" s="5" t="s">
        <v>231</v>
      </c>
      <c r="B68" s="5" t="s">
        <v>232</v>
      </c>
      <c r="C68" s="5" t="n">
        <v>26</v>
      </c>
      <c r="D68" s="5" t="n">
        <v>26</v>
      </c>
      <c r="E68" s="5" t="n">
        <f aca="false">C68-D68</f>
        <v>0</v>
      </c>
      <c r="F68" s="6" t="n">
        <f aca="false">IF(C68=0,"",D68/C68)</f>
        <v>1</v>
      </c>
      <c r="G68" s="5" t="n">
        <v>1</v>
      </c>
      <c r="H68" s="5" t="n">
        <v>30</v>
      </c>
      <c r="I68" s="5" t="n">
        <v>26</v>
      </c>
      <c r="J68" s="5" t="n">
        <v>4</v>
      </c>
    </row>
    <row r="69" customFormat="false" ht="15" hidden="false" customHeight="false" outlineLevel="0" collapsed="false">
      <c r="A69" s="5" t="s">
        <v>233</v>
      </c>
      <c r="B69" s="5" t="s">
        <v>234</v>
      </c>
      <c r="C69" s="5" t="n">
        <v>86</v>
      </c>
      <c r="D69" s="5" t="n">
        <v>86</v>
      </c>
      <c r="E69" s="5" t="n">
        <f aca="false">C69-D69</f>
        <v>0</v>
      </c>
      <c r="F69" s="6" t="n">
        <f aca="false">IF(C69=0,"",D69/C69)</f>
        <v>1</v>
      </c>
      <c r="G69" s="5" t="n">
        <v>4</v>
      </c>
      <c r="H69" s="5" t="n">
        <v>120</v>
      </c>
      <c r="I69" s="5" t="n">
        <v>86</v>
      </c>
      <c r="J69" s="5" t="n">
        <v>34</v>
      </c>
    </row>
    <row r="70" customFormat="false" ht="15" hidden="false" customHeight="false" outlineLevel="0" collapsed="false">
      <c r="A70" s="5" t="s">
        <v>235</v>
      </c>
      <c r="B70" s="5" t="s">
        <v>236</v>
      </c>
      <c r="C70" s="5" t="n">
        <v>70</v>
      </c>
      <c r="D70" s="5" t="n">
        <v>70</v>
      </c>
      <c r="E70" s="5" t="n">
        <f aca="false">C70-D70</f>
        <v>0</v>
      </c>
      <c r="F70" s="6" t="n">
        <f aca="false">IF(C70=0,"",D70/C70)</f>
        <v>1</v>
      </c>
      <c r="G70" s="5" t="n">
        <v>3</v>
      </c>
      <c r="H70" s="5" t="n">
        <v>90</v>
      </c>
      <c r="I70" s="5" t="n">
        <v>70</v>
      </c>
      <c r="J70" s="5" t="n">
        <v>20</v>
      </c>
    </row>
    <row r="71" customFormat="false" ht="15" hidden="false" customHeight="false" outlineLevel="0" collapsed="false">
      <c r="A71" s="5" t="s">
        <v>237</v>
      </c>
      <c r="B71" s="5" t="s">
        <v>234</v>
      </c>
      <c r="C71" s="5" t="n">
        <v>23</v>
      </c>
      <c r="D71" s="5" t="n">
        <v>23</v>
      </c>
      <c r="E71" s="5" t="n">
        <f aca="false">C71-D71</f>
        <v>0</v>
      </c>
      <c r="F71" s="6" t="n">
        <f aca="false">IF(C71=0,"",D71/C71)</f>
        <v>1</v>
      </c>
      <c r="G71" s="5" t="n">
        <v>2</v>
      </c>
      <c r="H71" s="5" t="n">
        <v>60</v>
      </c>
      <c r="I71" s="5" t="n">
        <v>23</v>
      </c>
      <c r="J71" s="5" t="n">
        <v>37</v>
      </c>
    </row>
    <row r="72" customFormat="false" ht="15" hidden="false" customHeight="false" outlineLevel="0" collapsed="false">
      <c r="A72" s="5" t="s">
        <v>238</v>
      </c>
      <c r="B72" s="5" t="s">
        <v>239</v>
      </c>
      <c r="C72" s="5" t="n">
        <v>18</v>
      </c>
      <c r="D72" s="5" t="n">
        <v>18</v>
      </c>
      <c r="E72" s="5" t="n">
        <f aca="false">C72-D72</f>
        <v>0</v>
      </c>
      <c r="F72" s="6" t="n">
        <f aca="false">IF(C72=0,"",D72/C72)</f>
        <v>1</v>
      </c>
      <c r="G72" s="5" t="n">
        <v>1</v>
      </c>
      <c r="H72" s="5" t="n">
        <v>30</v>
      </c>
      <c r="I72" s="5" t="n">
        <v>18</v>
      </c>
      <c r="J72" s="5" t="n">
        <v>12</v>
      </c>
    </row>
    <row r="73" customFormat="false" ht="15" hidden="false" customHeight="false" outlineLevel="0" collapsed="false">
      <c r="A73" s="5" t="s">
        <v>240</v>
      </c>
      <c r="B73" s="5" t="s">
        <v>241</v>
      </c>
      <c r="C73" s="5" t="n">
        <v>97</v>
      </c>
      <c r="D73" s="5" t="n">
        <v>97</v>
      </c>
      <c r="E73" s="5" t="n">
        <f aca="false">C73-D73</f>
        <v>0</v>
      </c>
      <c r="F73" s="6" t="n">
        <f aca="false">IF(C73=0,"",D73/C73)</f>
        <v>1</v>
      </c>
      <c r="G73" s="5" t="n">
        <v>5</v>
      </c>
      <c r="H73" s="5" t="n">
        <v>150</v>
      </c>
      <c r="I73" s="5" t="n">
        <v>97</v>
      </c>
      <c r="J73" s="5" t="n">
        <v>53</v>
      </c>
    </row>
    <row r="74" customFormat="false" ht="15" hidden="false" customHeight="false" outlineLevel="0" collapsed="false">
      <c r="A74" s="5" t="s">
        <v>242</v>
      </c>
      <c r="B74" s="5" t="s">
        <v>243</v>
      </c>
      <c r="C74" s="5" t="n">
        <v>42</v>
      </c>
      <c r="D74" s="5" t="n">
        <v>42</v>
      </c>
      <c r="E74" s="5" t="n">
        <f aca="false">C74-D74</f>
        <v>0</v>
      </c>
      <c r="F74" s="6" t="n">
        <f aca="false">IF(C74=0,"",D74/C74)</f>
        <v>1</v>
      </c>
      <c r="G74" s="5" t="n">
        <v>2</v>
      </c>
      <c r="H74" s="5" t="n">
        <v>60</v>
      </c>
      <c r="I74" s="5" t="n">
        <v>42</v>
      </c>
      <c r="J74" s="5" t="n">
        <v>18</v>
      </c>
    </row>
    <row r="75" customFormat="false" ht="15" hidden="false" customHeight="false" outlineLevel="0" collapsed="false">
      <c r="A75" s="5" t="s">
        <v>244</v>
      </c>
      <c r="B75" s="5" t="s">
        <v>245</v>
      </c>
      <c r="C75" s="5" t="n">
        <v>19</v>
      </c>
      <c r="D75" s="5" t="n">
        <v>19</v>
      </c>
      <c r="E75" s="5" t="n">
        <f aca="false">C75-D75</f>
        <v>0</v>
      </c>
      <c r="F75" s="6" t="n">
        <f aca="false">IF(C75=0,"",D75/C75)</f>
        <v>1</v>
      </c>
      <c r="G75" s="5" t="n">
        <v>1</v>
      </c>
      <c r="H75" s="5" t="n">
        <v>30</v>
      </c>
      <c r="I75" s="5" t="n">
        <v>19</v>
      </c>
      <c r="J75" s="5" t="n">
        <v>11</v>
      </c>
    </row>
    <row r="76" customFormat="false" ht="15" hidden="false" customHeight="false" outlineLevel="0" collapsed="false">
      <c r="A76" s="5" t="s">
        <v>246</v>
      </c>
      <c r="B76" s="5" t="s">
        <v>247</v>
      </c>
      <c r="C76" s="5" t="n">
        <v>20</v>
      </c>
      <c r="D76" s="5" t="n">
        <v>20</v>
      </c>
      <c r="E76" s="5" t="n">
        <f aca="false">C76-D76</f>
        <v>0</v>
      </c>
      <c r="F76" s="6" t="n">
        <f aca="false">IF(C76=0,"",D76/C76)</f>
        <v>1</v>
      </c>
      <c r="G76" s="5" t="n">
        <v>2</v>
      </c>
      <c r="H76" s="5" t="n">
        <v>60</v>
      </c>
      <c r="I76" s="5" t="n">
        <v>20</v>
      </c>
      <c r="J76" s="5" t="n">
        <v>40</v>
      </c>
    </row>
    <row r="77" customFormat="false" ht="15" hidden="false" customHeight="false" outlineLevel="0" collapsed="false">
      <c r="A77" s="5" t="s">
        <v>248</v>
      </c>
      <c r="B77" s="5" t="s">
        <v>249</v>
      </c>
      <c r="C77" s="5" t="n">
        <v>32</v>
      </c>
      <c r="D77" s="5" t="n">
        <v>32</v>
      </c>
      <c r="E77" s="5" t="n">
        <f aca="false">C77-D77</f>
        <v>0</v>
      </c>
      <c r="F77" s="6" t="n">
        <f aca="false">IF(C77=0,"",D77/C77)</f>
        <v>1</v>
      </c>
      <c r="G77" s="5" t="n">
        <v>2</v>
      </c>
      <c r="H77" s="5" t="n">
        <v>60</v>
      </c>
      <c r="I77" s="5" t="n">
        <v>32</v>
      </c>
      <c r="J77" s="5" t="n">
        <v>28</v>
      </c>
    </row>
    <row r="78" customFormat="false" ht="15" hidden="false" customHeight="false" outlineLevel="0" collapsed="false">
      <c r="A78" s="5" t="s">
        <v>250</v>
      </c>
      <c r="B78" s="5" t="s">
        <v>251</v>
      </c>
      <c r="C78" s="5" t="n">
        <v>22</v>
      </c>
      <c r="D78" s="5" t="n">
        <v>22</v>
      </c>
      <c r="E78" s="5" t="n">
        <f aca="false">C78-D78</f>
        <v>0</v>
      </c>
      <c r="F78" s="6" t="n">
        <f aca="false">IF(C78=0,"",D78/C78)</f>
        <v>1</v>
      </c>
      <c r="G78" s="5" t="n">
        <v>1</v>
      </c>
      <c r="H78" s="5" t="n">
        <v>30</v>
      </c>
      <c r="I78" s="5" t="n">
        <v>22</v>
      </c>
      <c r="J78" s="5" t="n">
        <v>8</v>
      </c>
    </row>
    <row r="79" customFormat="false" ht="15" hidden="false" customHeight="false" outlineLevel="0" collapsed="false">
      <c r="A79" s="5" t="s">
        <v>252</v>
      </c>
      <c r="B79" s="5" t="s">
        <v>253</v>
      </c>
      <c r="C79" s="5" t="n">
        <v>15</v>
      </c>
      <c r="D79" s="5" t="n">
        <v>15</v>
      </c>
      <c r="E79" s="5" t="n">
        <f aca="false">C79-D79</f>
        <v>0</v>
      </c>
      <c r="F79" s="6" t="n">
        <f aca="false">IF(C79=0,"",D79/C79)</f>
        <v>1</v>
      </c>
      <c r="G79" s="5" t="n">
        <v>1</v>
      </c>
      <c r="H79" s="5" t="n">
        <v>30</v>
      </c>
      <c r="I79" s="5" t="n">
        <v>15</v>
      </c>
      <c r="J79" s="5" t="n">
        <v>15</v>
      </c>
    </row>
    <row r="80" customFormat="false" ht="15" hidden="false" customHeight="false" outlineLevel="0" collapsed="false">
      <c r="A80" s="5" t="s">
        <v>254</v>
      </c>
      <c r="B80" s="5" t="s">
        <v>255</v>
      </c>
      <c r="C80" s="5" t="n">
        <v>12</v>
      </c>
      <c r="D80" s="5" t="n">
        <v>11</v>
      </c>
      <c r="E80" s="5" t="n">
        <f aca="false">C80-D80</f>
        <v>1</v>
      </c>
      <c r="F80" s="6" t="n">
        <f aca="false">IF(C80=0,"",D80/C80)</f>
        <v>0.916666666666667</v>
      </c>
      <c r="G80" s="5" t="n">
        <v>1</v>
      </c>
      <c r="H80" s="5" t="n">
        <v>30</v>
      </c>
      <c r="I80" s="5" t="n">
        <v>11</v>
      </c>
      <c r="J80" s="5" t="n">
        <v>19</v>
      </c>
    </row>
    <row r="81" customFormat="false" ht="15" hidden="false" customHeight="false" outlineLevel="0" collapsed="false">
      <c r="A81" s="5" t="s">
        <v>256</v>
      </c>
      <c r="B81" s="5" t="s">
        <v>257</v>
      </c>
      <c r="C81" s="5" t="n">
        <v>17</v>
      </c>
      <c r="D81" s="5" t="n">
        <v>16</v>
      </c>
      <c r="E81" s="5" t="n">
        <f aca="false">C81-D81</f>
        <v>1</v>
      </c>
      <c r="F81" s="6" t="n">
        <f aca="false">IF(C81=0,"",D81/C81)</f>
        <v>0.941176470588235</v>
      </c>
      <c r="G81" s="5" t="n">
        <v>2</v>
      </c>
      <c r="H81" s="5" t="n">
        <v>60</v>
      </c>
      <c r="I81" s="5" t="n">
        <v>16</v>
      </c>
      <c r="J81" s="5" t="n">
        <v>44</v>
      </c>
    </row>
    <row r="82" customFormat="false" ht="15" hidden="false" customHeight="false" outlineLevel="0" collapsed="false">
      <c r="A82" s="5" t="s">
        <v>258</v>
      </c>
      <c r="B82" s="5" t="s">
        <v>259</v>
      </c>
      <c r="C82" s="5" t="n">
        <v>25</v>
      </c>
      <c r="D82" s="5" t="n">
        <v>23</v>
      </c>
      <c r="E82" s="5" t="n">
        <f aca="false">C82-D82</f>
        <v>2</v>
      </c>
      <c r="F82" s="6" t="n">
        <f aca="false">IF(C82=0,"",D82/C82)</f>
        <v>0.92</v>
      </c>
      <c r="G82" s="5" t="n">
        <v>2</v>
      </c>
      <c r="H82" s="5" t="n">
        <v>60</v>
      </c>
      <c r="I82" s="5" t="n">
        <v>23</v>
      </c>
      <c r="J82" s="5" t="n">
        <v>37</v>
      </c>
    </row>
    <row r="83" customFormat="false" ht="15" hidden="false" customHeight="false" outlineLevel="0" collapsed="false">
      <c r="A83" s="5" t="s">
        <v>260</v>
      </c>
      <c r="B83" s="5" t="s">
        <v>261</v>
      </c>
      <c r="C83" s="5" t="n">
        <v>6</v>
      </c>
      <c r="D83" s="5" t="n">
        <v>6</v>
      </c>
      <c r="E83" s="5" t="n">
        <f aca="false">C83-D83</f>
        <v>0</v>
      </c>
      <c r="F83" s="6" t="n">
        <f aca="false">IF(C83=0,"",D83/C83)</f>
        <v>1</v>
      </c>
      <c r="G83" s="5" t="n">
        <v>1</v>
      </c>
      <c r="H83" s="5" t="n">
        <v>30</v>
      </c>
      <c r="I83" s="5" t="n">
        <v>6</v>
      </c>
      <c r="J83" s="5" t="n">
        <v>24</v>
      </c>
    </row>
    <row r="84" customFormat="false" ht="15" hidden="false" customHeight="false" outlineLevel="0" collapsed="false">
      <c r="A84" s="5" t="s">
        <v>262</v>
      </c>
      <c r="B84" s="5" t="s">
        <v>263</v>
      </c>
      <c r="C84" s="5" t="n">
        <v>8</v>
      </c>
      <c r="D84" s="5" t="n">
        <v>7</v>
      </c>
      <c r="E84" s="5" t="n">
        <f aca="false">C84-D84</f>
        <v>1</v>
      </c>
      <c r="F84" s="6" t="n">
        <f aca="false">IF(C84=0,"",D84/C84)</f>
        <v>0.875</v>
      </c>
      <c r="G84" s="5" t="n">
        <v>1</v>
      </c>
      <c r="H84" s="5" t="n">
        <v>30</v>
      </c>
      <c r="I84" s="5" t="n">
        <v>7</v>
      </c>
      <c r="J84" s="5" t="n">
        <v>23</v>
      </c>
    </row>
    <row r="85" customFormat="false" ht="15" hidden="false" customHeight="false" outlineLevel="0" collapsed="false">
      <c r="A85" s="5" t="s">
        <v>264</v>
      </c>
      <c r="B85" s="5" t="s">
        <v>265</v>
      </c>
      <c r="C85" s="5" t="n">
        <v>5</v>
      </c>
      <c r="D85" s="5" t="n">
        <v>2</v>
      </c>
      <c r="E85" s="5" t="n">
        <f aca="false">C85-D85</f>
        <v>3</v>
      </c>
      <c r="F85" s="6" t="n">
        <f aca="false">IF(C85=0,"",D85/C85)</f>
        <v>0.4</v>
      </c>
      <c r="G85" s="5" t="n">
        <v>1</v>
      </c>
      <c r="H85" s="5" t="n">
        <v>30</v>
      </c>
      <c r="I85" s="5" t="n">
        <v>2</v>
      </c>
      <c r="J85" s="5" t="n">
        <v>28</v>
      </c>
    </row>
    <row r="86" customFormat="false" ht="15" hidden="false" customHeight="false" outlineLevel="0" collapsed="false">
      <c r="A86" s="5" t="s">
        <v>266</v>
      </c>
      <c r="B86" s="5" t="s">
        <v>267</v>
      </c>
      <c r="C86" s="5" t="n">
        <v>10</v>
      </c>
      <c r="D86" s="5" t="n">
        <v>5</v>
      </c>
      <c r="E86" s="5" t="n">
        <f aca="false">C86-D86</f>
        <v>5</v>
      </c>
      <c r="F86" s="6" t="n">
        <f aca="false">IF(C86=0,"",D86/C86)</f>
        <v>0.5</v>
      </c>
      <c r="G86" s="5" t="n">
        <v>1</v>
      </c>
      <c r="H86" s="5" t="n">
        <v>30</v>
      </c>
      <c r="I86" s="5" t="n">
        <v>5</v>
      </c>
      <c r="J86" s="5" t="n">
        <v>25</v>
      </c>
    </row>
    <row r="87" customFormat="false" ht="15" hidden="false" customHeight="false" outlineLevel="0" collapsed="false">
      <c r="A87" s="5" t="s">
        <v>268</v>
      </c>
      <c r="B87" s="5" t="s">
        <v>269</v>
      </c>
      <c r="C87" s="5" t="n">
        <v>31</v>
      </c>
      <c r="D87" s="5" t="n">
        <v>31</v>
      </c>
      <c r="E87" s="5" t="n">
        <f aca="false">C87-D87</f>
        <v>0</v>
      </c>
      <c r="F87" s="6" t="n">
        <f aca="false">IF(C87=0,"",D87/C87)</f>
        <v>1</v>
      </c>
      <c r="G87" s="5" t="n">
        <v>2</v>
      </c>
      <c r="H87" s="5" t="n">
        <v>60</v>
      </c>
      <c r="I87" s="5" t="n">
        <v>31</v>
      </c>
      <c r="J87" s="5" t="n">
        <v>29</v>
      </c>
    </row>
    <row r="88" customFormat="false" ht="15" hidden="false" customHeight="false" outlineLevel="0" collapsed="false">
      <c r="A88" s="5" t="s">
        <v>270</v>
      </c>
      <c r="B88" s="5" t="s">
        <v>271</v>
      </c>
      <c r="C88" s="5" t="n">
        <v>121</v>
      </c>
      <c r="D88" s="5" t="n">
        <v>120</v>
      </c>
      <c r="E88" s="5" t="n">
        <f aca="false">C88-D88</f>
        <v>1</v>
      </c>
      <c r="F88" s="6" t="n">
        <f aca="false">IF(C88=0,"",D88/C88)</f>
        <v>0.991735537190083</v>
      </c>
      <c r="G88" s="5" t="n">
        <v>5</v>
      </c>
      <c r="H88" s="5" t="n">
        <v>150</v>
      </c>
      <c r="I88" s="5" t="n">
        <v>120</v>
      </c>
      <c r="J88" s="5" t="n">
        <v>30</v>
      </c>
    </row>
    <row r="89" customFormat="false" ht="15" hidden="false" customHeight="false" outlineLevel="0" collapsed="false">
      <c r="A89" s="5" t="s">
        <v>272</v>
      </c>
      <c r="B89" s="5" t="s">
        <v>273</v>
      </c>
      <c r="C89" s="5" t="n">
        <v>94</v>
      </c>
      <c r="D89" s="5" t="n">
        <v>94</v>
      </c>
      <c r="E89" s="5" t="n">
        <f aca="false">C89-D89</f>
        <v>0</v>
      </c>
      <c r="F89" s="6" t="n">
        <f aca="false">IF(C89=0,"",D89/C89)</f>
        <v>1</v>
      </c>
      <c r="G89" s="5" t="n">
        <v>4</v>
      </c>
      <c r="H89" s="5" t="n">
        <v>120</v>
      </c>
      <c r="I89" s="5" t="n">
        <v>94</v>
      </c>
      <c r="J89" s="5" t="n">
        <v>26</v>
      </c>
    </row>
    <row r="90" customFormat="false" ht="15" hidden="false" customHeight="false" outlineLevel="0" collapsed="false">
      <c r="A90" s="5" t="s">
        <v>274</v>
      </c>
      <c r="B90" s="5" t="s">
        <v>275</v>
      </c>
      <c r="C90" s="5" t="n">
        <v>94</v>
      </c>
      <c r="D90" s="5" t="n">
        <v>94</v>
      </c>
      <c r="E90" s="5" t="n">
        <f aca="false">C90-D90</f>
        <v>0</v>
      </c>
      <c r="F90" s="6" t="n">
        <f aca="false">IF(C90=0,"",D90/C90)</f>
        <v>1</v>
      </c>
      <c r="G90" s="5" t="n">
        <v>5</v>
      </c>
      <c r="H90" s="5" t="n">
        <v>150</v>
      </c>
      <c r="I90" s="5" t="n">
        <v>94</v>
      </c>
      <c r="J90" s="5" t="n">
        <v>56</v>
      </c>
    </row>
    <row r="91" customFormat="false" ht="15" hidden="false" customHeight="false" outlineLevel="0" collapsed="false">
      <c r="A91" s="5" t="s">
        <v>276</v>
      </c>
      <c r="B91" s="5" t="s">
        <v>277</v>
      </c>
      <c r="C91" s="5" t="n">
        <v>91</v>
      </c>
      <c r="D91" s="5" t="n">
        <v>91</v>
      </c>
      <c r="E91" s="5" t="n">
        <f aca="false">C91-D91</f>
        <v>0</v>
      </c>
      <c r="F91" s="6" t="n">
        <f aca="false">IF(C91=0,"",D91/C91)</f>
        <v>1</v>
      </c>
      <c r="G91" s="5" t="n">
        <v>4</v>
      </c>
      <c r="H91" s="5" t="n">
        <v>120</v>
      </c>
      <c r="I91" s="5" t="n">
        <v>91</v>
      </c>
      <c r="J91" s="5" t="n">
        <v>29</v>
      </c>
    </row>
    <row r="92" customFormat="false" ht="15" hidden="false" customHeight="false" outlineLevel="0" collapsed="false">
      <c r="A92" s="5" t="s">
        <v>278</v>
      </c>
      <c r="B92" s="5" t="s">
        <v>279</v>
      </c>
      <c r="C92" s="5" t="n">
        <v>98</v>
      </c>
      <c r="D92" s="5" t="n">
        <v>98</v>
      </c>
      <c r="E92" s="5" t="n">
        <f aca="false">C92-D92</f>
        <v>0</v>
      </c>
      <c r="F92" s="6" t="n">
        <f aca="false">IF(C92=0,"",D92/C92)</f>
        <v>1</v>
      </c>
      <c r="G92" s="5" t="n">
        <v>4</v>
      </c>
      <c r="H92" s="5" t="n">
        <v>120</v>
      </c>
      <c r="I92" s="5" t="n">
        <v>98</v>
      </c>
      <c r="J92" s="5" t="n">
        <v>22</v>
      </c>
    </row>
    <row r="93" customFormat="false" ht="15" hidden="false" customHeight="false" outlineLevel="0" collapsed="false">
      <c r="A93" s="5" t="s">
        <v>280</v>
      </c>
      <c r="B93" s="5" t="s">
        <v>281</v>
      </c>
      <c r="C93" s="5" t="n">
        <v>68</v>
      </c>
      <c r="D93" s="5" t="n">
        <v>68</v>
      </c>
      <c r="E93" s="5" t="n">
        <f aca="false">C93-D93</f>
        <v>0</v>
      </c>
      <c r="F93" s="6" t="n">
        <f aca="false">IF(C93=0,"",D93/C93)</f>
        <v>1</v>
      </c>
      <c r="G93" s="5" t="n">
        <v>3</v>
      </c>
      <c r="H93" s="5" t="n">
        <v>90</v>
      </c>
      <c r="I93" s="5" t="n">
        <v>68</v>
      </c>
      <c r="J93" s="5" t="n">
        <v>22</v>
      </c>
    </row>
    <row r="94" customFormat="false" ht="15" hidden="false" customHeight="false" outlineLevel="0" collapsed="false">
      <c r="A94" s="5" t="s">
        <v>282</v>
      </c>
      <c r="B94" s="5" t="s">
        <v>283</v>
      </c>
      <c r="C94" s="5" t="n">
        <v>15</v>
      </c>
      <c r="D94" s="5" t="n">
        <v>13</v>
      </c>
      <c r="E94" s="5" t="n">
        <f aca="false">C94-D94</f>
        <v>2</v>
      </c>
      <c r="F94" s="6" t="n">
        <f aca="false">IF(C94=0,"",D94/C94)</f>
        <v>0.866666666666667</v>
      </c>
      <c r="G94" s="5" t="n">
        <v>1</v>
      </c>
      <c r="H94" s="5" t="n">
        <v>30</v>
      </c>
      <c r="I94" s="5" t="n">
        <v>13</v>
      </c>
      <c r="J94" s="5" t="n">
        <v>17</v>
      </c>
    </row>
    <row r="95" customFormat="false" ht="15" hidden="false" customHeight="false" outlineLevel="0" collapsed="false">
      <c r="A95" s="5" t="s">
        <v>284</v>
      </c>
      <c r="B95" s="5" t="s">
        <v>285</v>
      </c>
      <c r="C95" s="5" t="n">
        <v>36</v>
      </c>
      <c r="D95" s="5" t="n">
        <v>34</v>
      </c>
      <c r="E95" s="5" t="n">
        <f aca="false">C95-D95</f>
        <v>2</v>
      </c>
      <c r="F95" s="6" t="n">
        <f aca="false">IF(C95=0,"",D95/C95)</f>
        <v>0.944444444444444</v>
      </c>
      <c r="G95" s="5" t="n">
        <v>2</v>
      </c>
      <c r="H95" s="5" t="n">
        <v>60</v>
      </c>
      <c r="I95" s="5" t="n">
        <v>34</v>
      </c>
      <c r="J95" s="5" t="n">
        <v>26</v>
      </c>
    </row>
    <row r="96" customFormat="false" ht="15" hidden="false" customHeight="false" outlineLevel="0" collapsed="false">
      <c r="A96" s="5" t="s">
        <v>286</v>
      </c>
      <c r="B96" s="5" t="s">
        <v>287</v>
      </c>
      <c r="C96" s="5" t="n">
        <v>25</v>
      </c>
      <c r="D96" s="5" t="n">
        <v>22</v>
      </c>
      <c r="E96" s="5" t="n">
        <f aca="false">C96-D96</f>
        <v>3</v>
      </c>
      <c r="F96" s="6" t="n">
        <f aca="false">IF(C96=0,"",D96/C96)</f>
        <v>0.88</v>
      </c>
      <c r="G96" s="5" t="n">
        <v>1</v>
      </c>
      <c r="H96" s="5" t="n">
        <v>30</v>
      </c>
      <c r="I96" s="5" t="n">
        <v>22</v>
      </c>
      <c r="J96" s="5" t="n">
        <v>8</v>
      </c>
    </row>
    <row r="97" customFormat="false" ht="15" hidden="false" customHeight="false" outlineLevel="0" collapsed="false">
      <c r="A97" s="5" t="s">
        <v>288</v>
      </c>
      <c r="B97" s="5" t="s">
        <v>289</v>
      </c>
      <c r="C97" s="5" t="n">
        <v>38</v>
      </c>
      <c r="D97" s="5" t="n">
        <v>34</v>
      </c>
      <c r="E97" s="5" t="n">
        <f aca="false">C97-D97</f>
        <v>4</v>
      </c>
      <c r="F97" s="6" t="n">
        <f aca="false">IF(C97=0,"",D97/C97)</f>
        <v>0.894736842105263</v>
      </c>
      <c r="G97" s="5" t="n">
        <v>2</v>
      </c>
      <c r="H97" s="5" t="n">
        <v>60</v>
      </c>
      <c r="I97" s="5" t="n">
        <v>34</v>
      </c>
      <c r="J97" s="5" t="n">
        <v>26</v>
      </c>
    </row>
    <row r="98" customFormat="false" ht="15" hidden="false" customHeight="false" outlineLevel="0" collapsed="false">
      <c r="A98" s="5" t="s">
        <v>290</v>
      </c>
      <c r="B98" s="5" t="s">
        <v>291</v>
      </c>
      <c r="C98" s="5" t="n">
        <v>13</v>
      </c>
      <c r="D98" s="5" t="n">
        <v>13</v>
      </c>
      <c r="E98" s="5" t="n">
        <f aca="false">C98-D98</f>
        <v>0</v>
      </c>
      <c r="F98" s="6" t="n">
        <f aca="false">IF(C98=0,"",D98/C98)</f>
        <v>1</v>
      </c>
      <c r="G98" s="5" t="n">
        <v>1</v>
      </c>
      <c r="H98" s="5" t="n">
        <v>30</v>
      </c>
      <c r="I98" s="5" t="n">
        <v>13</v>
      </c>
      <c r="J98" s="5" t="n">
        <v>17</v>
      </c>
    </row>
    <row r="99" customFormat="false" ht="15" hidden="false" customHeight="false" outlineLevel="0" collapsed="false">
      <c r="A99" s="5" t="s">
        <v>292</v>
      </c>
      <c r="B99" s="5" t="s">
        <v>293</v>
      </c>
      <c r="C99" s="5" t="n">
        <v>21</v>
      </c>
      <c r="D99" s="5" t="n">
        <v>19</v>
      </c>
      <c r="E99" s="5" t="n">
        <f aca="false">C99-D99</f>
        <v>2</v>
      </c>
      <c r="F99" s="6" t="n">
        <f aca="false">IF(C99=0,"",D99/C99)</f>
        <v>0.904761904761905</v>
      </c>
      <c r="G99" s="5" t="n">
        <v>1</v>
      </c>
      <c r="H99" s="5" t="n">
        <v>30</v>
      </c>
      <c r="I99" s="5" t="n">
        <v>19</v>
      </c>
      <c r="J99" s="5" t="n">
        <v>11</v>
      </c>
    </row>
    <row r="100" customFormat="false" ht="15" hidden="false" customHeight="false" outlineLevel="0" collapsed="false">
      <c r="A100" s="5" t="s">
        <v>294</v>
      </c>
      <c r="B100" s="5" t="s">
        <v>295</v>
      </c>
      <c r="C100" s="5" t="n">
        <v>30</v>
      </c>
      <c r="D100" s="5" t="n">
        <v>30</v>
      </c>
      <c r="E100" s="5" t="n">
        <f aca="false">C100-D100</f>
        <v>0</v>
      </c>
      <c r="F100" s="6" t="n">
        <f aca="false">IF(C100=0,"",D100/C100)</f>
        <v>1</v>
      </c>
      <c r="G100" s="5" t="n">
        <v>2</v>
      </c>
      <c r="H100" s="5" t="n">
        <v>60</v>
      </c>
      <c r="I100" s="5" t="n">
        <v>30</v>
      </c>
      <c r="J100" s="5" t="n">
        <v>30</v>
      </c>
    </row>
    <row r="101" customFormat="false" ht="15" hidden="false" customHeight="false" outlineLevel="0" collapsed="false">
      <c r="A101" s="5" t="s">
        <v>296</v>
      </c>
      <c r="B101" s="5" t="s">
        <v>297</v>
      </c>
      <c r="C101" s="5" t="n">
        <v>20</v>
      </c>
      <c r="D101" s="5" t="n">
        <v>20</v>
      </c>
      <c r="E101" s="5" t="n">
        <f aca="false">C101-D101</f>
        <v>0</v>
      </c>
      <c r="F101" s="6" t="n">
        <f aca="false">IF(C101=0,"",D101/C101)</f>
        <v>1</v>
      </c>
      <c r="G101" s="5" t="n">
        <v>1</v>
      </c>
      <c r="H101" s="5" t="n">
        <v>30</v>
      </c>
      <c r="I101" s="5" t="n">
        <v>20</v>
      </c>
      <c r="J101" s="5" t="n">
        <v>10</v>
      </c>
    </row>
    <row r="102" customFormat="false" ht="15" hidden="false" customHeight="false" outlineLevel="0" collapsed="false">
      <c r="A102" s="5" t="s">
        <v>298</v>
      </c>
      <c r="B102" s="5" t="s">
        <v>299</v>
      </c>
      <c r="C102" s="5" t="n">
        <v>17</v>
      </c>
      <c r="D102" s="5" t="n">
        <v>16</v>
      </c>
      <c r="E102" s="5" t="n">
        <f aca="false">C102-D102</f>
        <v>1</v>
      </c>
      <c r="F102" s="6" t="n">
        <f aca="false">IF(C102=0,"",D102/C102)</f>
        <v>0.941176470588235</v>
      </c>
      <c r="G102" s="5" t="n">
        <v>2</v>
      </c>
      <c r="H102" s="5" t="n">
        <v>60</v>
      </c>
      <c r="I102" s="5" t="n">
        <v>16</v>
      </c>
      <c r="J102" s="5" t="n">
        <v>44</v>
      </c>
    </row>
    <row r="103" customFormat="false" ht="15" hidden="false" customHeight="false" outlineLevel="0" collapsed="false">
      <c r="A103" s="5" t="s">
        <v>300</v>
      </c>
      <c r="B103" s="5" t="s">
        <v>301</v>
      </c>
      <c r="C103" s="5" t="n">
        <v>45</v>
      </c>
      <c r="D103" s="5" t="n">
        <v>44</v>
      </c>
      <c r="E103" s="5" t="n">
        <f aca="false">C103-D103</f>
        <v>1</v>
      </c>
      <c r="F103" s="6" t="n">
        <f aca="false">IF(C103=0,"",D103/C103)</f>
        <v>0.977777777777778</v>
      </c>
      <c r="G103" s="5" t="n">
        <v>4</v>
      </c>
      <c r="H103" s="5" t="n">
        <v>120</v>
      </c>
      <c r="I103" s="5" t="n">
        <v>44</v>
      </c>
      <c r="J103" s="5" t="n">
        <v>76</v>
      </c>
    </row>
    <row r="104" customFormat="false" ht="15" hidden="false" customHeight="false" outlineLevel="0" collapsed="false">
      <c r="A104" s="5" t="s">
        <v>302</v>
      </c>
      <c r="B104" s="5" t="s">
        <v>303</v>
      </c>
      <c r="C104" s="5" t="n">
        <v>17</v>
      </c>
      <c r="D104" s="5" t="n">
        <v>17</v>
      </c>
      <c r="E104" s="5" t="n">
        <f aca="false">C104-D104</f>
        <v>0</v>
      </c>
      <c r="F104" s="6" t="n">
        <f aca="false">IF(C104=0,"",D104/C104)</f>
        <v>1</v>
      </c>
      <c r="G104" s="5" t="n">
        <v>2</v>
      </c>
      <c r="H104" s="5" t="n">
        <v>60</v>
      </c>
      <c r="I104" s="5" t="n">
        <v>17</v>
      </c>
      <c r="J104" s="5" t="n">
        <v>43</v>
      </c>
    </row>
    <row r="105" customFormat="false" ht="15" hidden="false" customHeight="false" outlineLevel="0" collapsed="false">
      <c r="A105" s="5" t="s">
        <v>304</v>
      </c>
      <c r="B105" s="5" t="s">
        <v>305</v>
      </c>
      <c r="C105" s="5" t="n">
        <v>20</v>
      </c>
      <c r="D105" s="5" t="n">
        <v>19</v>
      </c>
      <c r="E105" s="5" t="n">
        <f aca="false">C105-D105</f>
        <v>1</v>
      </c>
      <c r="F105" s="6" t="n">
        <f aca="false">IF(C105=0,"",D105/C105)</f>
        <v>0.95</v>
      </c>
      <c r="G105" s="5" t="n">
        <v>2</v>
      </c>
      <c r="H105" s="5" t="n">
        <v>60</v>
      </c>
      <c r="I105" s="5" t="n">
        <v>19</v>
      </c>
      <c r="J105" s="5" t="n">
        <v>41</v>
      </c>
    </row>
    <row r="106" customFormat="false" ht="15" hidden="false" customHeight="false" outlineLevel="0" collapsed="false">
      <c r="A106" s="5" t="s">
        <v>306</v>
      </c>
      <c r="B106" s="5" t="s">
        <v>307</v>
      </c>
      <c r="C106" s="5" t="n">
        <v>3</v>
      </c>
      <c r="D106" s="5" t="n">
        <v>3</v>
      </c>
      <c r="E106" s="5" t="n">
        <f aca="false">C106-D106</f>
        <v>0</v>
      </c>
      <c r="F106" s="6" t="n">
        <f aca="false">IF(C106=0,"",D106/C106)</f>
        <v>1</v>
      </c>
      <c r="G106" s="5" t="n">
        <v>2</v>
      </c>
      <c r="H106" s="5" t="n">
        <v>60</v>
      </c>
      <c r="I106" s="5" t="n">
        <v>3</v>
      </c>
      <c r="J106" s="5" t="n">
        <v>57</v>
      </c>
    </row>
    <row r="107" customFormat="false" ht="15" hidden="false" customHeight="false" outlineLevel="0" collapsed="false">
      <c r="A107" s="5" t="s">
        <v>308</v>
      </c>
      <c r="B107" s="5" t="s">
        <v>309</v>
      </c>
      <c r="C107" s="5" t="n">
        <v>13</v>
      </c>
      <c r="D107" s="5" t="n">
        <v>11</v>
      </c>
      <c r="E107" s="5" t="n">
        <f aca="false">C107-D107</f>
        <v>2</v>
      </c>
      <c r="F107" s="6" t="n">
        <f aca="false">IF(C107=0,"",D107/C107)</f>
        <v>0.846153846153846</v>
      </c>
      <c r="G107" s="5" t="n">
        <v>2</v>
      </c>
      <c r="H107" s="5" t="n">
        <v>60</v>
      </c>
      <c r="I107" s="5" t="n">
        <v>11</v>
      </c>
      <c r="J107" s="5" t="n">
        <v>49</v>
      </c>
    </row>
    <row r="108" customFormat="false" ht="15" hidden="false" customHeight="false" outlineLevel="0" collapsed="false">
      <c r="A108" s="5" t="s">
        <v>310</v>
      </c>
      <c r="B108" s="5" t="s">
        <v>311</v>
      </c>
      <c r="C108" s="5" t="n">
        <v>206</v>
      </c>
      <c r="D108" s="5" t="n">
        <v>205</v>
      </c>
      <c r="E108" s="5" t="n">
        <f aca="false">C108-D108</f>
        <v>1</v>
      </c>
      <c r="F108" s="6" t="n">
        <f aca="false">IF(C108=0,"",D108/C108)</f>
        <v>0.995145631067961</v>
      </c>
      <c r="G108" s="5" t="n">
        <v>10</v>
      </c>
      <c r="H108" s="5" t="n">
        <v>300</v>
      </c>
      <c r="I108" s="5" t="n">
        <v>205</v>
      </c>
      <c r="J108" s="5" t="n">
        <v>95</v>
      </c>
    </row>
    <row r="109" customFormat="false" ht="15" hidden="false" customHeight="false" outlineLevel="0" collapsed="false">
      <c r="A109" s="5" t="s">
        <v>312</v>
      </c>
      <c r="B109" s="5" t="s">
        <v>313</v>
      </c>
      <c r="C109" s="5" t="n">
        <v>168</v>
      </c>
      <c r="D109" s="5" t="n">
        <v>168</v>
      </c>
      <c r="E109" s="5" t="n">
        <f aca="false">C109-D109</f>
        <v>0</v>
      </c>
      <c r="F109" s="6" t="n">
        <f aca="false">IF(C109=0,"",D109/C109)</f>
        <v>1</v>
      </c>
      <c r="G109" s="5" t="n">
        <v>8</v>
      </c>
      <c r="H109" s="5" t="n">
        <v>240</v>
      </c>
      <c r="I109" s="5" t="n">
        <v>168</v>
      </c>
      <c r="J109" s="5" t="n">
        <v>72</v>
      </c>
    </row>
    <row r="110" customFormat="false" ht="15" hidden="false" customHeight="false" outlineLevel="0" collapsed="false">
      <c r="A110" s="5" t="s">
        <v>314</v>
      </c>
      <c r="B110" s="5" t="s">
        <v>315</v>
      </c>
      <c r="C110" s="5" t="n">
        <v>59</v>
      </c>
      <c r="D110" s="5" t="n">
        <v>55</v>
      </c>
      <c r="E110" s="5" t="n">
        <f aca="false">C110-D110</f>
        <v>4</v>
      </c>
      <c r="F110" s="6" t="n">
        <f aca="false">IF(C110=0,"",D110/C110)</f>
        <v>0.932203389830508</v>
      </c>
      <c r="G110" s="5" t="n">
        <v>6</v>
      </c>
      <c r="H110" s="5" t="n">
        <v>180</v>
      </c>
      <c r="I110" s="5" t="n">
        <v>55</v>
      </c>
      <c r="J110" s="5" t="n">
        <v>125</v>
      </c>
    </row>
    <row r="111" customFormat="false" ht="15" hidden="false" customHeight="false" outlineLevel="0" collapsed="false">
      <c r="A111" s="5" t="s">
        <v>316</v>
      </c>
      <c r="B111" s="5" t="s">
        <v>317</v>
      </c>
      <c r="C111" s="5" t="n">
        <v>69</v>
      </c>
      <c r="D111" s="5" t="n">
        <v>69</v>
      </c>
      <c r="E111" s="5" t="n">
        <f aca="false">C111-D111</f>
        <v>0</v>
      </c>
      <c r="F111" s="6" t="n">
        <f aca="false">IF(C111=0,"",D111/C111)</f>
        <v>1</v>
      </c>
      <c r="G111" s="5" t="n">
        <v>6</v>
      </c>
      <c r="H111" s="5" t="n">
        <v>180</v>
      </c>
      <c r="I111" s="5" t="n">
        <v>69</v>
      </c>
      <c r="J111" s="5" t="n">
        <v>111</v>
      </c>
    </row>
    <row r="112" customFormat="false" ht="15" hidden="false" customHeight="false" outlineLevel="0" collapsed="false">
      <c r="A112" s="5" t="s">
        <v>318</v>
      </c>
      <c r="B112" s="5" t="s">
        <v>319</v>
      </c>
      <c r="C112" s="5" t="n">
        <v>135</v>
      </c>
      <c r="D112" s="5" t="n">
        <v>135</v>
      </c>
      <c r="E112" s="5" t="n">
        <f aca="false">C112-D112</f>
        <v>0</v>
      </c>
      <c r="F112" s="6" t="n">
        <f aca="false">IF(C112=0,"",D112/C112)</f>
        <v>1</v>
      </c>
      <c r="G112" s="5" t="n">
        <v>5</v>
      </c>
      <c r="H112" s="5" t="n">
        <v>150</v>
      </c>
      <c r="I112" s="5" t="n">
        <v>135</v>
      </c>
      <c r="J112" s="5" t="n">
        <v>15</v>
      </c>
    </row>
    <row r="113" customFormat="false" ht="15" hidden="false" customHeight="false" outlineLevel="0" collapsed="false">
      <c r="A113" s="5" t="s">
        <v>320</v>
      </c>
      <c r="B113" s="5" t="s">
        <v>321</v>
      </c>
      <c r="C113" s="5" t="n">
        <v>152</v>
      </c>
      <c r="D113" s="5" t="n">
        <v>151</v>
      </c>
      <c r="E113" s="5" t="n">
        <f aca="false">C113-D113</f>
        <v>1</v>
      </c>
      <c r="F113" s="6" t="n">
        <f aca="false">IF(C113=0,"",D113/C113)</f>
        <v>0.993421052631579</v>
      </c>
      <c r="G113" s="5" t="n">
        <v>6</v>
      </c>
      <c r="H113" s="5" t="n">
        <v>180</v>
      </c>
      <c r="I113" s="5" t="n">
        <v>151</v>
      </c>
      <c r="J113" s="5" t="n">
        <v>29</v>
      </c>
    </row>
    <row r="114" customFormat="false" ht="15" hidden="false" customHeight="false" outlineLevel="0" collapsed="false">
      <c r="A114" s="5" t="s">
        <v>322</v>
      </c>
      <c r="B114" s="5" t="s">
        <v>323</v>
      </c>
      <c r="C114" s="5" t="n">
        <v>38</v>
      </c>
      <c r="D114" s="5" t="n">
        <v>38</v>
      </c>
      <c r="E114" s="5" t="n">
        <f aca="false">C114-D114</f>
        <v>0</v>
      </c>
      <c r="F114" s="6" t="n">
        <f aca="false">IF(C114=0,"",D114/C114)</f>
        <v>1</v>
      </c>
      <c r="G114" s="5" t="n">
        <v>2</v>
      </c>
      <c r="H114" s="5" t="n">
        <v>60</v>
      </c>
      <c r="I114" s="5" t="n">
        <v>38</v>
      </c>
      <c r="J114" s="5" t="n">
        <v>22</v>
      </c>
    </row>
    <row r="115" customFormat="false" ht="15" hidden="false" customHeight="false" outlineLevel="0" collapsed="false">
      <c r="A115" s="5" t="s">
        <v>324</v>
      </c>
      <c r="B115" s="5" t="s">
        <v>325</v>
      </c>
      <c r="C115" s="5" t="n">
        <v>29</v>
      </c>
      <c r="D115" s="5" t="n">
        <v>29</v>
      </c>
      <c r="E115" s="5" t="n">
        <f aca="false">C115-D115</f>
        <v>0</v>
      </c>
      <c r="F115" s="6" t="n">
        <f aca="false">IF(C115=0,"",D115/C115)</f>
        <v>1</v>
      </c>
      <c r="G115" s="5" t="n">
        <v>2</v>
      </c>
      <c r="H115" s="5" t="n">
        <v>60</v>
      </c>
      <c r="I115" s="5" t="n">
        <v>29</v>
      </c>
      <c r="J115" s="5" t="n">
        <v>31</v>
      </c>
    </row>
    <row r="116" customFormat="false" ht="15" hidden="false" customHeight="false" outlineLevel="0" collapsed="false">
      <c r="A116" s="5" t="s">
        <v>326</v>
      </c>
      <c r="B116" s="5" t="s">
        <v>327</v>
      </c>
      <c r="C116" s="5" t="n">
        <v>128</v>
      </c>
      <c r="D116" s="5" t="n">
        <v>128</v>
      </c>
      <c r="E116" s="5" t="n">
        <f aca="false">C116-D116</f>
        <v>0</v>
      </c>
      <c r="F116" s="6" t="n">
        <f aca="false">IF(C116=0,"",D116/C116)</f>
        <v>1</v>
      </c>
      <c r="G116" s="5" t="n">
        <v>5</v>
      </c>
      <c r="H116" s="5" t="n">
        <v>150</v>
      </c>
      <c r="I116" s="5" t="n">
        <v>128</v>
      </c>
      <c r="J116" s="5" t="n">
        <v>22</v>
      </c>
    </row>
    <row r="117" customFormat="false" ht="15" hidden="false" customHeight="false" outlineLevel="0" collapsed="false">
      <c r="A117" s="5" t="s">
        <v>328</v>
      </c>
      <c r="B117" s="5" t="s">
        <v>329</v>
      </c>
      <c r="C117" s="5" t="n">
        <v>62</v>
      </c>
      <c r="D117" s="5" t="n">
        <v>62</v>
      </c>
      <c r="E117" s="5" t="n">
        <f aca="false">C117-D117</f>
        <v>0</v>
      </c>
      <c r="F117" s="6" t="n">
        <f aca="false">IF(C117=0,"",D117/C117)</f>
        <v>1</v>
      </c>
      <c r="G117" s="5" t="n">
        <v>3</v>
      </c>
      <c r="H117" s="5" t="n">
        <v>90</v>
      </c>
      <c r="I117" s="5" t="n">
        <v>62</v>
      </c>
      <c r="J117" s="5" t="n">
        <v>28</v>
      </c>
    </row>
    <row r="118" customFormat="false" ht="15" hidden="false" customHeight="false" outlineLevel="0" collapsed="false">
      <c r="A118" s="5" t="s">
        <v>330</v>
      </c>
      <c r="B118" s="5" t="s">
        <v>331</v>
      </c>
      <c r="C118" s="5" t="n">
        <v>29</v>
      </c>
      <c r="D118" s="5" t="n">
        <v>29</v>
      </c>
      <c r="E118" s="5" t="n">
        <f aca="false">C118-D118</f>
        <v>0</v>
      </c>
      <c r="F118" s="6" t="n">
        <f aca="false">IF(C118=0,"",D118/C118)</f>
        <v>1</v>
      </c>
      <c r="G118" s="5" t="n">
        <v>2</v>
      </c>
      <c r="H118" s="5" t="n">
        <v>60</v>
      </c>
      <c r="I118" s="5" t="n">
        <v>29</v>
      </c>
      <c r="J118" s="5" t="n">
        <v>31</v>
      </c>
    </row>
    <row r="119" customFormat="false" ht="15" hidden="false" customHeight="false" outlineLevel="0" collapsed="false">
      <c r="A119" s="5" t="s">
        <v>332</v>
      </c>
      <c r="B119" s="5" t="s">
        <v>333</v>
      </c>
      <c r="C119" s="5" t="n">
        <v>8</v>
      </c>
      <c r="D119" s="5" t="n">
        <v>5</v>
      </c>
      <c r="E119" s="5" t="n">
        <f aca="false">C119-D119</f>
        <v>3</v>
      </c>
      <c r="F119" s="6" t="n">
        <f aca="false">IF(C119=0,"",D119/C119)</f>
        <v>0.625</v>
      </c>
      <c r="G119" s="5" t="n">
        <v>1</v>
      </c>
      <c r="H119" s="5" t="n">
        <v>30</v>
      </c>
      <c r="I119" s="5" t="n">
        <v>5</v>
      </c>
      <c r="J119" s="5" t="n">
        <v>25</v>
      </c>
    </row>
    <row r="120" customFormat="false" ht="15" hidden="false" customHeight="false" outlineLevel="0" collapsed="false">
      <c r="A120" s="5" t="s">
        <v>334</v>
      </c>
      <c r="B120" s="5" t="s">
        <v>335</v>
      </c>
      <c r="C120" s="5" t="n">
        <v>62</v>
      </c>
      <c r="D120" s="5" t="n">
        <v>56</v>
      </c>
      <c r="E120" s="5" t="n">
        <f aca="false">C120-D120</f>
        <v>6</v>
      </c>
      <c r="F120" s="6" t="n">
        <f aca="false">IF(C120=0,"",D120/C120)</f>
        <v>0.903225806451613</v>
      </c>
      <c r="G120" s="5" t="n">
        <v>3</v>
      </c>
      <c r="H120" s="5" t="n">
        <v>90</v>
      </c>
      <c r="I120" s="5" t="n">
        <v>56</v>
      </c>
      <c r="J120" s="5" t="n">
        <v>34</v>
      </c>
    </row>
    <row r="121" customFormat="false" ht="15" hidden="false" customHeight="false" outlineLevel="0" collapsed="false">
      <c r="A121" s="5" t="s">
        <v>336</v>
      </c>
      <c r="B121" s="5" t="s">
        <v>337</v>
      </c>
      <c r="C121" s="5" t="n">
        <v>61</v>
      </c>
      <c r="D121" s="5" t="n">
        <v>58</v>
      </c>
      <c r="E121" s="5" t="n">
        <f aca="false">C121-D121</f>
        <v>3</v>
      </c>
      <c r="F121" s="6" t="n">
        <f aca="false">IF(C121=0,"",D121/C121)</f>
        <v>0.950819672131148</v>
      </c>
      <c r="G121" s="5" t="n">
        <v>3</v>
      </c>
      <c r="H121" s="5" t="n">
        <v>90</v>
      </c>
      <c r="I121" s="5" t="n">
        <v>58</v>
      </c>
      <c r="J121" s="5" t="n">
        <v>32</v>
      </c>
    </row>
    <row r="122" customFormat="false" ht="15" hidden="false" customHeight="false" outlineLevel="0" collapsed="false">
      <c r="A122" s="5" t="s">
        <v>338</v>
      </c>
      <c r="B122" s="5" t="s">
        <v>339</v>
      </c>
      <c r="C122" s="5" t="n">
        <v>44</v>
      </c>
      <c r="D122" s="5" t="n">
        <v>44</v>
      </c>
      <c r="E122" s="5" t="n">
        <f aca="false">C122-D122</f>
        <v>0</v>
      </c>
      <c r="F122" s="6" t="n">
        <f aca="false">IF(C122=0,"",D122/C122)</f>
        <v>1</v>
      </c>
      <c r="G122" s="5" t="n">
        <v>2</v>
      </c>
      <c r="H122" s="5" t="n">
        <v>60</v>
      </c>
      <c r="I122" s="5" t="n">
        <v>44</v>
      </c>
      <c r="J122" s="5" t="n">
        <v>16</v>
      </c>
    </row>
    <row r="123" customFormat="false" ht="15" hidden="false" customHeight="false" outlineLevel="0" collapsed="false">
      <c r="A123" s="5" t="s">
        <v>340</v>
      </c>
      <c r="B123" s="5" t="s">
        <v>341</v>
      </c>
      <c r="C123" s="5" t="n">
        <v>80</v>
      </c>
      <c r="D123" s="5" t="n">
        <v>80</v>
      </c>
      <c r="E123" s="5" t="n">
        <f aca="false">C123-D123</f>
        <v>0</v>
      </c>
      <c r="F123" s="6" t="n">
        <f aca="false">IF(C123=0,"",D123/C123)</f>
        <v>1</v>
      </c>
      <c r="G123" s="5" t="n">
        <v>3</v>
      </c>
      <c r="H123" s="5" t="n">
        <v>90</v>
      </c>
      <c r="I123" s="5" t="n">
        <v>80</v>
      </c>
      <c r="J123" s="5" t="n">
        <v>10</v>
      </c>
    </row>
    <row r="124" customFormat="false" ht="15" hidden="false" customHeight="false" outlineLevel="0" collapsed="false">
      <c r="A124" s="5" t="s">
        <v>342</v>
      </c>
      <c r="B124" s="5" t="s">
        <v>343</v>
      </c>
      <c r="C124" s="5" t="n">
        <v>58</v>
      </c>
      <c r="D124" s="5" t="n">
        <v>58</v>
      </c>
      <c r="E124" s="5" t="n">
        <f aca="false">C124-D124</f>
        <v>0</v>
      </c>
      <c r="F124" s="6" t="n">
        <f aca="false">IF(C124=0,"",D124/C124)</f>
        <v>1</v>
      </c>
      <c r="G124" s="5" t="n">
        <v>3</v>
      </c>
      <c r="H124" s="5" t="n">
        <v>90</v>
      </c>
      <c r="I124" s="5" t="n">
        <v>58</v>
      </c>
      <c r="J124" s="5" t="n">
        <v>32</v>
      </c>
    </row>
    <row r="125" customFormat="false" ht="15" hidden="false" customHeight="false" outlineLevel="0" collapsed="false">
      <c r="A125" s="5" t="s">
        <v>344</v>
      </c>
      <c r="B125" s="5" t="s">
        <v>345</v>
      </c>
      <c r="C125" s="5" t="n">
        <v>74</v>
      </c>
      <c r="D125" s="5" t="n">
        <v>74</v>
      </c>
      <c r="E125" s="5" t="n">
        <f aca="false">C125-D125</f>
        <v>0</v>
      </c>
      <c r="F125" s="6" t="n">
        <f aca="false">IF(C125=0,"",D125/C125)</f>
        <v>1</v>
      </c>
      <c r="G125" s="5" t="n">
        <v>3</v>
      </c>
      <c r="H125" s="5" t="n">
        <v>90</v>
      </c>
      <c r="I125" s="5" t="n">
        <v>75</v>
      </c>
      <c r="J125" s="5" t="n">
        <v>15</v>
      </c>
    </row>
    <row r="126" customFormat="false" ht="15" hidden="false" customHeight="false" outlineLevel="0" collapsed="false">
      <c r="A126" s="5" t="s">
        <v>346</v>
      </c>
      <c r="B126" s="5" t="s">
        <v>347</v>
      </c>
      <c r="C126" s="5" t="n">
        <v>70</v>
      </c>
      <c r="D126" s="5" t="n">
        <v>70</v>
      </c>
      <c r="E126" s="5" t="n">
        <f aca="false">C126-D126</f>
        <v>0</v>
      </c>
      <c r="F126" s="6" t="n">
        <f aca="false">IF(C126=0,"",D126/C126)</f>
        <v>1</v>
      </c>
      <c r="G126" s="5" t="n">
        <v>3</v>
      </c>
      <c r="H126" s="5" t="n">
        <v>90</v>
      </c>
      <c r="I126" s="5" t="n">
        <v>70</v>
      </c>
      <c r="J126" s="5" t="n">
        <v>20</v>
      </c>
    </row>
    <row r="127" customFormat="false" ht="15" hidden="false" customHeight="false" outlineLevel="0" collapsed="false">
      <c r="A127" s="5" t="s">
        <v>348</v>
      </c>
      <c r="B127" s="5" t="s">
        <v>349</v>
      </c>
      <c r="C127" s="5" t="n">
        <v>40</v>
      </c>
      <c r="D127" s="5" t="n">
        <v>40</v>
      </c>
      <c r="E127" s="5" t="n">
        <f aca="false">C127-D127</f>
        <v>0</v>
      </c>
      <c r="F127" s="6" t="n">
        <f aca="false">IF(C127=0,"",D127/C127)</f>
        <v>1</v>
      </c>
      <c r="G127" s="5" t="n">
        <v>2</v>
      </c>
      <c r="H127" s="5" t="n">
        <v>60</v>
      </c>
      <c r="I127" s="5" t="n">
        <v>40</v>
      </c>
      <c r="J127" s="5" t="n">
        <v>20</v>
      </c>
    </row>
    <row r="128" customFormat="false" ht="15" hidden="false" customHeight="false" outlineLevel="0" collapsed="false">
      <c r="A128" s="5" t="s">
        <v>350</v>
      </c>
      <c r="B128" s="5" t="s">
        <v>351</v>
      </c>
      <c r="C128" s="5" t="n">
        <v>57</v>
      </c>
      <c r="D128" s="5" t="n">
        <v>53</v>
      </c>
      <c r="E128" s="5" t="n">
        <f aca="false">C128-D128</f>
        <v>4</v>
      </c>
      <c r="F128" s="6" t="n">
        <f aca="false">IF(C128=0,"",D128/C128)</f>
        <v>0.929824561403509</v>
      </c>
      <c r="G128" s="5" t="n">
        <v>3</v>
      </c>
      <c r="H128" s="5" t="n">
        <v>90</v>
      </c>
      <c r="I128" s="5" t="n">
        <v>53</v>
      </c>
      <c r="J128" s="5" t="n">
        <v>37</v>
      </c>
    </row>
    <row r="129" customFormat="false" ht="15" hidden="false" customHeight="false" outlineLevel="0" collapsed="false">
      <c r="A129" s="5" t="s">
        <v>352</v>
      </c>
      <c r="B129" s="5" t="s">
        <v>353</v>
      </c>
      <c r="C129" s="5" t="n">
        <v>28</v>
      </c>
      <c r="D129" s="5" t="n">
        <v>28</v>
      </c>
      <c r="E129" s="5" t="n">
        <f aca="false">C129-D129</f>
        <v>0</v>
      </c>
      <c r="F129" s="6" t="n">
        <f aca="false">IF(C129=0,"",D129/C129)</f>
        <v>1</v>
      </c>
      <c r="G129" s="5" t="n">
        <v>2</v>
      </c>
      <c r="H129" s="5" t="n">
        <v>60</v>
      </c>
      <c r="I129" s="5" t="n">
        <v>28</v>
      </c>
      <c r="J129" s="5" t="n">
        <v>32</v>
      </c>
    </row>
    <row r="130" customFormat="false" ht="15" hidden="false" customHeight="false" outlineLevel="0" collapsed="false">
      <c r="A130" s="5" t="s">
        <v>354</v>
      </c>
      <c r="B130" s="5" t="s">
        <v>355</v>
      </c>
      <c r="C130" s="5" t="n">
        <v>20</v>
      </c>
      <c r="D130" s="5" t="n">
        <v>20</v>
      </c>
      <c r="E130" s="5" t="n">
        <f aca="false">C130-D130</f>
        <v>0</v>
      </c>
      <c r="F130" s="6" t="n">
        <f aca="false">IF(C130=0,"",D130/C130)</f>
        <v>1</v>
      </c>
      <c r="G130" s="5" t="n">
        <v>1</v>
      </c>
      <c r="H130" s="5" t="n">
        <v>30</v>
      </c>
      <c r="I130" s="5" t="n">
        <v>20</v>
      </c>
      <c r="J130" s="5" t="n">
        <v>10</v>
      </c>
    </row>
    <row r="131" customFormat="false" ht="15" hidden="false" customHeight="false" outlineLevel="0" collapsed="false">
      <c r="A131" s="5" t="s">
        <v>356</v>
      </c>
      <c r="B131" s="5" t="s">
        <v>357</v>
      </c>
      <c r="C131" s="5" t="n">
        <v>31</v>
      </c>
      <c r="D131" s="5" t="n">
        <v>29</v>
      </c>
      <c r="E131" s="5" t="n">
        <f aca="false">C131-D131</f>
        <v>2</v>
      </c>
      <c r="F131" s="6" t="n">
        <f aca="false">IF(C131=0,"",D131/C131)</f>
        <v>0.935483870967742</v>
      </c>
      <c r="G131" s="5" t="n">
        <v>2</v>
      </c>
      <c r="H131" s="5" t="n">
        <v>60</v>
      </c>
      <c r="I131" s="5" t="n">
        <v>29</v>
      </c>
      <c r="J131" s="5" t="n">
        <v>31</v>
      </c>
    </row>
    <row r="132" customFormat="false" ht="15" hidden="false" customHeight="false" outlineLevel="0" collapsed="false">
      <c r="A132" s="5" t="s">
        <v>358</v>
      </c>
      <c r="B132" s="5" t="s">
        <v>359</v>
      </c>
      <c r="C132" s="5" t="n">
        <v>36</v>
      </c>
      <c r="D132" s="5" t="n">
        <v>36</v>
      </c>
      <c r="E132" s="5" t="n">
        <f aca="false">C132-D132</f>
        <v>0</v>
      </c>
      <c r="F132" s="6" t="n">
        <f aca="false">IF(C132=0,"",D132/C132)</f>
        <v>1</v>
      </c>
      <c r="G132" s="5" t="n">
        <v>2</v>
      </c>
      <c r="H132" s="5" t="n">
        <v>60</v>
      </c>
      <c r="I132" s="5" t="n">
        <v>36</v>
      </c>
      <c r="J132" s="5" t="n">
        <v>24</v>
      </c>
    </row>
    <row r="133" customFormat="false" ht="15" hidden="false" customHeight="false" outlineLevel="0" collapsed="false">
      <c r="A133" s="5" t="s">
        <v>360</v>
      </c>
      <c r="B133" s="5" t="s">
        <v>361</v>
      </c>
      <c r="C133" s="5" t="n">
        <v>22</v>
      </c>
      <c r="D133" s="5" t="n">
        <v>16</v>
      </c>
      <c r="E133" s="5" t="n">
        <f aca="false">C133-D133</f>
        <v>6</v>
      </c>
      <c r="F133" s="6" t="n">
        <f aca="false">IF(C133=0,"",D133/C133)</f>
        <v>0.727272727272727</v>
      </c>
      <c r="G133" s="5" t="n">
        <v>1</v>
      </c>
      <c r="H133" s="5" t="n">
        <v>30</v>
      </c>
      <c r="I133" s="5" t="n">
        <v>16</v>
      </c>
      <c r="J133" s="5" t="n">
        <v>14</v>
      </c>
    </row>
    <row r="134" customFormat="false" ht="15" hidden="false" customHeight="false" outlineLevel="0" collapsed="false">
      <c r="A134" s="5" t="s">
        <v>362</v>
      </c>
      <c r="B134" s="5" t="s">
        <v>363</v>
      </c>
      <c r="C134" s="5" t="n">
        <v>30</v>
      </c>
      <c r="D134" s="5" t="n">
        <v>29</v>
      </c>
      <c r="E134" s="5" t="n">
        <f aca="false">C134-D134</f>
        <v>1</v>
      </c>
      <c r="F134" s="6" t="n">
        <f aca="false">IF(C134=0,"",D134/C134)</f>
        <v>0.966666666666667</v>
      </c>
      <c r="G134" s="5" t="n">
        <v>2</v>
      </c>
      <c r="H134" s="5" t="n">
        <v>60</v>
      </c>
      <c r="I134" s="5" t="n">
        <v>29</v>
      </c>
      <c r="J134" s="5" t="n">
        <v>31</v>
      </c>
    </row>
    <row r="135" customFormat="false" ht="15" hidden="false" customHeight="false" outlineLevel="0" collapsed="false">
      <c r="A135" s="5" t="s">
        <v>364</v>
      </c>
      <c r="B135" s="5" t="s">
        <v>365</v>
      </c>
      <c r="C135" s="5" t="n">
        <v>13</v>
      </c>
      <c r="D135" s="5" t="n">
        <v>12</v>
      </c>
      <c r="E135" s="5" t="n">
        <f aca="false">C135-D135</f>
        <v>1</v>
      </c>
      <c r="F135" s="6" t="n">
        <f aca="false">IF(C135=0,"",D135/C135)</f>
        <v>0.923076923076923</v>
      </c>
      <c r="G135" s="5" t="n">
        <v>1</v>
      </c>
      <c r="H135" s="5" t="n">
        <v>30</v>
      </c>
      <c r="I135" s="5" t="n">
        <v>12</v>
      </c>
      <c r="J135" s="5" t="n">
        <v>18</v>
      </c>
    </row>
    <row r="136" customFormat="false" ht="15" hidden="false" customHeight="false" outlineLevel="0" collapsed="false">
      <c r="A136" s="5" t="s">
        <v>366</v>
      </c>
      <c r="B136" s="5" t="s">
        <v>367</v>
      </c>
      <c r="C136" s="5" t="n">
        <v>57</v>
      </c>
      <c r="D136" s="5" t="n">
        <v>56</v>
      </c>
      <c r="E136" s="5" t="n">
        <f aca="false">C136-D136</f>
        <v>1</v>
      </c>
      <c r="F136" s="6" t="n">
        <f aca="false">IF(C136=0,"",D136/C136)</f>
        <v>0.982456140350877</v>
      </c>
      <c r="G136" s="5" t="n">
        <v>3</v>
      </c>
      <c r="H136" s="5" t="n">
        <v>90</v>
      </c>
      <c r="I136" s="5" t="n">
        <v>56</v>
      </c>
      <c r="J136" s="5" t="n">
        <v>34</v>
      </c>
    </row>
    <row r="137" customFormat="false" ht="15" hidden="false" customHeight="false" outlineLevel="0" collapsed="false">
      <c r="A137" s="5" t="s">
        <v>368</v>
      </c>
      <c r="B137" s="5" t="s">
        <v>369</v>
      </c>
      <c r="C137" s="5" t="n">
        <v>32</v>
      </c>
      <c r="D137" s="5" t="n">
        <v>25</v>
      </c>
      <c r="E137" s="5" t="n">
        <f aca="false">C137-D137</f>
        <v>7</v>
      </c>
      <c r="F137" s="6" t="n">
        <f aca="false">IF(C137=0,"",D137/C137)</f>
        <v>0.78125</v>
      </c>
      <c r="G137" s="5" t="n">
        <v>2</v>
      </c>
      <c r="H137" s="5" t="n">
        <v>60</v>
      </c>
      <c r="I137" s="5" t="n">
        <v>26</v>
      </c>
      <c r="J137" s="5" t="n">
        <v>34</v>
      </c>
    </row>
    <row r="138" customFormat="false" ht="15" hidden="false" customHeight="false" outlineLevel="0" collapsed="false">
      <c r="A138" s="5" t="s">
        <v>370</v>
      </c>
      <c r="B138" s="5" t="s">
        <v>371</v>
      </c>
      <c r="C138" s="5" t="n">
        <v>20</v>
      </c>
      <c r="D138" s="5" t="n">
        <v>19</v>
      </c>
      <c r="E138" s="5" t="n">
        <f aca="false">C138-D138</f>
        <v>1</v>
      </c>
      <c r="F138" s="6" t="n">
        <f aca="false">IF(C138=0,"",D138/C138)</f>
        <v>0.95</v>
      </c>
      <c r="G138" s="5" t="n">
        <v>1</v>
      </c>
      <c r="H138" s="5" t="n">
        <v>30</v>
      </c>
      <c r="I138" s="5" t="n">
        <v>19</v>
      </c>
      <c r="J138" s="5" t="n">
        <v>11</v>
      </c>
    </row>
    <row r="139" customFormat="false" ht="15" hidden="false" customHeight="false" outlineLevel="0" collapsed="false">
      <c r="A139" s="5" t="s">
        <v>372</v>
      </c>
      <c r="B139" s="5" t="s">
        <v>373</v>
      </c>
      <c r="C139" s="5" t="n">
        <v>33</v>
      </c>
      <c r="D139" s="5" t="n">
        <v>33</v>
      </c>
      <c r="E139" s="5" t="n">
        <f aca="false">C139-D139</f>
        <v>0</v>
      </c>
      <c r="F139" s="6" t="n">
        <f aca="false">IF(C139=0,"",D139/C139)</f>
        <v>1</v>
      </c>
      <c r="G139" s="5" t="n">
        <v>2</v>
      </c>
      <c r="H139" s="5" t="n">
        <v>60</v>
      </c>
      <c r="I139" s="5" t="n">
        <v>33</v>
      </c>
      <c r="J139" s="5" t="n">
        <v>27</v>
      </c>
    </row>
    <row r="140" customFormat="false" ht="15" hidden="false" customHeight="false" outlineLevel="0" collapsed="false">
      <c r="A140" s="5" t="s">
        <v>374</v>
      </c>
      <c r="B140" s="5" t="s">
        <v>375</v>
      </c>
      <c r="C140" s="5" t="n">
        <v>1</v>
      </c>
      <c r="D140" s="5" t="n">
        <v>0</v>
      </c>
      <c r="E140" s="5" t="n">
        <f aca="false">C140-D140</f>
        <v>1</v>
      </c>
      <c r="F140" s="6" t="n">
        <f aca="false">IF(C140=0,"",D140/C140)</f>
        <v>0</v>
      </c>
      <c r="G140" s="5" t="n">
        <v>1</v>
      </c>
      <c r="H140" s="5" t="n">
        <v>30</v>
      </c>
      <c r="I140" s="5" t="n">
        <v>0</v>
      </c>
      <c r="J140" s="5" t="n">
        <v>30</v>
      </c>
    </row>
    <row r="141" customFormat="false" ht="15" hidden="false" customHeight="false" outlineLevel="0" collapsed="false">
      <c r="A141" s="5" t="s">
        <v>376</v>
      </c>
      <c r="B141" s="5" t="s">
        <v>377</v>
      </c>
      <c r="C141" s="5" t="n">
        <v>38</v>
      </c>
      <c r="D141" s="5" t="n">
        <v>38</v>
      </c>
      <c r="E141" s="5" t="n">
        <f aca="false">C141-D141</f>
        <v>0</v>
      </c>
      <c r="F141" s="6" t="n">
        <f aca="false">IF(C141=0,"",D141/C141)</f>
        <v>1</v>
      </c>
      <c r="G141" s="5" t="n">
        <v>2</v>
      </c>
      <c r="H141" s="5" t="n">
        <v>60</v>
      </c>
      <c r="I141" s="5" t="n">
        <v>38</v>
      </c>
      <c r="J141" s="5" t="n">
        <v>22</v>
      </c>
    </row>
    <row r="142" customFormat="false" ht="15" hidden="false" customHeight="false" outlineLevel="0" collapsed="false">
      <c r="A142" s="5" t="s">
        <v>378</v>
      </c>
      <c r="B142" s="5" t="s">
        <v>379</v>
      </c>
      <c r="C142" s="5" t="n">
        <v>38</v>
      </c>
      <c r="D142" s="5" t="n">
        <v>38</v>
      </c>
      <c r="E142" s="5" t="n">
        <f aca="false">C142-D142</f>
        <v>0</v>
      </c>
      <c r="F142" s="6" t="n">
        <f aca="false">IF(C142=0,"",D142/C142)</f>
        <v>1</v>
      </c>
      <c r="G142" s="5" t="n">
        <v>2</v>
      </c>
      <c r="H142" s="5" t="n">
        <v>60</v>
      </c>
      <c r="I142" s="5" t="n">
        <v>38</v>
      </c>
      <c r="J142" s="5" t="n">
        <v>22</v>
      </c>
    </row>
    <row r="143" customFormat="false" ht="15" hidden="false" customHeight="false" outlineLevel="0" collapsed="false">
      <c r="A143" s="5" t="s">
        <v>380</v>
      </c>
      <c r="B143" s="5" t="s">
        <v>381</v>
      </c>
      <c r="C143" s="5" t="n">
        <v>216</v>
      </c>
      <c r="D143" s="5" t="n">
        <v>215</v>
      </c>
      <c r="E143" s="5" t="n">
        <f aca="false">C143-D143</f>
        <v>1</v>
      </c>
      <c r="F143" s="6" t="n">
        <f aca="false">IF(C143=0,"",D143/C143)</f>
        <v>0.99537037037037</v>
      </c>
      <c r="G143" s="5" t="n">
        <v>9</v>
      </c>
      <c r="H143" s="5" t="n">
        <v>270</v>
      </c>
      <c r="I143" s="5" t="n">
        <v>215</v>
      </c>
      <c r="J143" s="5" t="n">
        <v>55</v>
      </c>
    </row>
    <row r="144" customFormat="false" ht="15" hidden="false" customHeight="false" outlineLevel="0" collapsed="false">
      <c r="A144" s="5" t="s">
        <v>382</v>
      </c>
      <c r="B144" s="5" t="s">
        <v>383</v>
      </c>
      <c r="C144" s="5" t="n">
        <v>221</v>
      </c>
      <c r="D144" s="5" t="n">
        <v>221</v>
      </c>
      <c r="E144" s="5" t="n">
        <f aca="false">C144-D144</f>
        <v>0</v>
      </c>
      <c r="F144" s="6" t="n">
        <f aca="false">IF(C144=0,"",D144/C144)</f>
        <v>1</v>
      </c>
      <c r="G144" s="5" t="n">
        <v>9</v>
      </c>
      <c r="H144" s="5" t="n">
        <v>270</v>
      </c>
      <c r="I144" s="5" t="n">
        <v>221</v>
      </c>
      <c r="J144" s="5" t="n">
        <v>49</v>
      </c>
    </row>
    <row r="145" customFormat="false" ht="15" hidden="false" customHeight="false" outlineLevel="0" collapsed="false">
      <c r="A145" s="5" t="s">
        <v>384</v>
      </c>
      <c r="B145" s="5" t="s">
        <v>385</v>
      </c>
      <c r="C145" s="5" t="n">
        <v>202</v>
      </c>
      <c r="D145" s="5" t="n">
        <v>202</v>
      </c>
      <c r="E145" s="5" t="n">
        <f aca="false">C145-D145</f>
        <v>0</v>
      </c>
      <c r="F145" s="6" t="n">
        <f aca="false">IF(C145=0,"",D145/C145)</f>
        <v>1</v>
      </c>
      <c r="G145" s="5" t="n">
        <v>9</v>
      </c>
      <c r="H145" s="5" t="n">
        <v>270</v>
      </c>
      <c r="I145" s="5" t="n">
        <v>202</v>
      </c>
      <c r="J145" s="5" t="n">
        <v>68</v>
      </c>
    </row>
    <row r="146" customFormat="false" ht="15" hidden="false" customHeight="false" outlineLevel="0" collapsed="false">
      <c r="A146" s="5" t="s">
        <v>386</v>
      </c>
      <c r="B146" s="5" t="s">
        <v>387</v>
      </c>
      <c r="C146" s="5" t="n">
        <v>165</v>
      </c>
      <c r="D146" s="5" t="n">
        <v>165</v>
      </c>
      <c r="E146" s="5" t="n">
        <f aca="false">C146-D146</f>
        <v>0</v>
      </c>
      <c r="F146" s="6" t="n">
        <f aca="false">IF(C146=0,"",D146/C146)</f>
        <v>1</v>
      </c>
      <c r="G146" s="5" t="n">
        <v>8</v>
      </c>
      <c r="H146" s="5" t="n">
        <v>240</v>
      </c>
      <c r="I146" s="5" t="n">
        <v>165</v>
      </c>
      <c r="J146" s="5" t="n">
        <v>75</v>
      </c>
    </row>
    <row r="147" customFormat="false" ht="15" hidden="false" customHeight="false" outlineLevel="0" collapsed="false">
      <c r="A147" s="5" t="s">
        <v>388</v>
      </c>
      <c r="B147" s="5" t="s">
        <v>389</v>
      </c>
      <c r="C147" s="5" t="n">
        <v>165</v>
      </c>
      <c r="D147" s="5" t="n">
        <v>165</v>
      </c>
      <c r="E147" s="5" t="n">
        <f aca="false">C147-D147</f>
        <v>0</v>
      </c>
      <c r="F147" s="6" t="n">
        <f aca="false">IF(C147=0,"",D147/C147)</f>
        <v>1</v>
      </c>
      <c r="G147" s="5" t="n">
        <v>8</v>
      </c>
      <c r="H147" s="5" t="n">
        <v>240</v>
      </c>
      <c r="I147" s="5" t="n">
        <v>165</v>
      </c>
      <c r="J147" s="5" t="n">
        <v>75</v>
      </c>
    </row>
    <row r="148" customFormat="false" ht="15" hidden="false" customHeight="false" outlineLevel="0" collapsed="false">
      <c r="A148" s="5" t="s">
        <v>390</v>
      </c>
      <c r="B148" s="5" t="s">
        <v>391</v>
      </c>
      <c r="C148" s="5" t="n">
        <v>29</v>
      </c>
      <c r="D148" s="5" t="n">
        <v>26</v>
      </c>
      <c r="E148" s="5" t="n">
        <f aca="false">C148-D148</f>
        <v>3</v>
      </c>
      <c r="F148" s="6" t="n">
        <f aca="false">IF(C148=0,"",D148/C148)</f>
        <v>0.896551724137931</v>
      </c>
      <c r="G148" s="5" t="n">
        <v>6</v>
      </c>
      <c r="H148" s="5" t="n">
        <v>72</v>
      </c>
      <c r="I148" s="5" t="n">
        <v>26</v>
      </c>
      <c r="J148" s="5" t="n">
        <v>46</v>
      </c>
    </row>
    <row r="149" customFormat="false" ht="15" hidden="false" customHeight="false" outlineLevel="0" collapsed="false">
      <c r="A149" s="13"/>
      <c r="B149" s="13" t="s">
        <v>92</v>
      </c>
      <c r="C149" s="13" t="n">
        <f aca="false">SUM(C5:C148)</f>
        <v>6514</v>
      </c>
      <c r="D149" s="13" t="n">
        <f aca="false">SUM(D5:D148)</f>
        <v>6386</v>
      </c>
      <c r="E149" s="13" t="n">
        <f aca="false">SUM(E5:E148)</f>
        <v>128</v>
      </c>
      <c r="F149" s="14" t="n">
        <f aca="false">D149/C149</f>
        <v>0.980350015351551</v>
      </c>
      <c r="G149" s="13" t="n">
        <f aca="false">SUM(G5:G148)</f>
        <v>367</v>
      </c>
      <c r="H149" s="13" t="n">
        <f aca="false">SUM(H5:H148)</f>
        <v>10902</v>
      </c>
      <c r="I149" s="13" t="n">
        <f aca="false">SUM(I5:I148)</f>
        <v>6426</v>
      </c>
      <c r="J149" s="13" t="n">
        <f aca="false">SUM(J5:J148)</f>
        <v>4476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4" hidden="false" customHeight="true" outlineLevel="0" collapsed="false">
      <c r="A1" s="1" t="s">
        <v>392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393</v>
      </c>
    </row>
    <row r="4" customFormat="false" ht="30" hidden="false" customHeight="true" outlineLevel="0" collapsed="false">
      <c r="A4" s="4" t="s">
        <v>104</v>
      </c>
      <c r="B4" s="4" t="s">
        <v>105</v>
      </c>
      <c r="C4" s="4" t="s">
        <v>394</v>
      </c>
      <c r="D4" s="4" t="s">
        <v>107</v>
      </c>
      <c r="E4" s="4" t="s">
        <v>108</v>
      </c>
      <c r="F4" s="4" t="s">
        <v>395</v>
      </c>
      <c r="G4" s="4" t="s">
        <v>110</v>
      </c>
      <c r="H4" s="4" t="s">
        <v>396</v>
      </c>
    </row>
    <row r="5" customFormat="false" ht="15" hidden="false" customHeight="false" outlineLevel="0" collapsed="false">
      <c r="A5" s="5" t="s">
        <v>104</v>
      </c>
      <c r="B5" s="5" t="s">
        <v>105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f aca="false">E5-F5</f>
        <v>0</v>
      </c>
      <c r="H5" s="5" t="s">
        <v>397</v>
      </c>
    </row>
    <row r="6" customFormat="false" ht="15" hidden="false" customHeight="false" outlineLevel="0" collapsed="false">
      <c r="A6" s="5" t="s">
        <v>147</v>
      </c>
      <c r="B6" s="5" t="s">
        <v>148</v>
      </c>
      <c r="C6" s="5" t="n">
        <v>10</v>
      </c>
      <c r="D6" s="5" t="n">
        <v>0</v>
      </c>
      <c r="E6" s="5" t="n">
        <v>0</v>
      </c>
      <c r="F6" s="5" t="n">
        <v>0</v>
      </c>
      <c r="G6" s="5" t="n">
        <f aca="false">E6-F6</f>
        <v>0</v>
      </c>
      <c r="H6" s="5" t="s">
        <v>397</v>
      </c>
    </row>
    <row r="7" customFormat="false" ht="15" hidden="false" customHeight="false" outlineLevel="0" collapsed="false">
      <c r="A7" s="5" t="s">
        <v>368</v>
      </c>
      <c r="B7" s="5" t="s">
        <v>369</v>
      </c>
      <c r="C7" s="5" t="n">
        <v>7</v>
      </c>
      <c r="D7" s="5" t="n">
        <v>2</v>
      </c>
      <c r="E7" s="5" t="n">
        <v>60</v>
      </c>
      <c r="F7" s="5" t="n">
        <v>26</v>
      </c>
      <c r="G7" s="5" t="n">
        <f aca="false">E7-F7</f>
        <v>34</v>
      </c>
      <c r="H7" s="5" t="s">
        <v>398</v>
      </c>
    </row>
    <row r="8" customFormat="false" ht="15" hidden="false" customHeight="false" outlineLevel="0" collapsed="false">
      <c r="A8" s="5" t="s">
        <v>334</v>
      </c>
      <c r="B8" s="5" t="s">
        <v>335</v>
      </c>
      <c r="C8" s="5" t="n">
        <v>6</v>
      </c>
      <c r="D8" s="5" t="n">
        <v>3</v>
      </c>
      <c r="E8" s="5" t="n">
        <v>90</v>
      </c>
      <c r="F8" s="5" t="n">
        <v>56</v>
      </c>
      <c r="G8" s="5" t="n">
        <f aca="false">E8-F8</f>
        <v>34</v>
      </c>
      <c r="H8" s="5" t="s">
        <v>398</v>
      </c>
    </row>
    <row r="9" customFormat="false" ht="15" hidden="false" customHeight="false" outlineLevel="0" collapsed="false">
      <c r="A9" s="5" t="s">
        <v>360</v>
      </c>
      <c r="B9" s="5" t="s">
        <v>361</v>
      </c>
      <c r="C9" s="5" t="n">
        <v>6</v>
      </c>
      <c r="D9" s="5" t="n">
        <v>1</v>
      </c>
      <c r="E9" s="5" t="n">
        <v>30</v>
      </c>
      <c r="F9" s="5" t="n">
        <v>16</v>
      </c>
      <c r="G9" s="5" t="n">
        <f aca="false">E9-F9</f>
        <v>14</v>
      </c>
      <c r="H9" s="5" t="s">
        <v>399</v>
      </c>
    </row>
    <row r="10" customFormat="false" ht="15" hidden="false" customHeight="false" outlineLevel="0" collapsed="false">
      <c r="A10" s="5" t="s">
        <v>266</v>
      </c>
      <c r="B10" s="5" t="s">
        <v>267</v>
      </c>
      <c r="C10" s="5" t="n">
        <v>5</v>
      </c>
      <c r="D10" s="5" t="n">
        <v>1</v>
      </c>
      <c r="E10" s="5" t="n">
        <v>30</v>
      </c>
      <c r="F10" s="5" t="n">
        <v>5</v>
      </c>
      <c r="G10" s="5" t="n">
        <f aca="false">E10-F10</f>
        <v>25</v>
      </c>
      <c r="H10" s="5" t="s">
        <v>399</v>
      </c>
    </row>
    <row r="11" customFormat="false" ht="15" hidden="false" customHeight="false" outlineLevel="0" collapsed="false">
      <c r="A11" s="5" t="s">
        <v>175</v>
      </c>
      <c r="B11" s="5" t="s">
        <v>176</v>
      </c>
      <c r="C11" s="5" t="n">
        <v>5</v>
      </c>
      <c r="D11" s="5" t="n">
        <v>1</v>
      </c>
      <c r="E11" s="5" t="n">
        <v>30</v>
      </c>
      <c r="F11" s="5" t="n">
        <v>0</v>
      </c>
      <c r="G11" s="5" t="n">
        <f aca="false">E11-F11</f>
        <v>30</v>
      </c>
      <c r="H11" s="5" t="s">
        <v>399</v>
      </c>
    </row>
    <row r="12" customFormat="false" ht="15" hidden="false" customHeight="false" outlineLevel="0" collapsed="false">
      <c r="A12" s="5" t="s">
        <v>165</v>
      </c>
      <c r="B12" s="5" t="s">
        <v>166</v>
      </c>
      <c r="C12" s="5" t="n">
        <v>4</v>
      </c>
      <c r="D12" s="5" t="n">
        <v>1</v>
      </c>
      <c r="E12" s="5" t="n">
        <v>30</v>
      </c>
      <c r="F12" s="5" t="n">
        <v>4</v>
      </c>
      <c r="G12" s="5" t="n">
        <f aca="false">E12-F12</f>
        <v>26</v>
      </c>
      <c r="H12" s="5" t="s">
        <v>399</v>
      </c>
    </row>
    <row r="13" customFormat="false" ht="15" hidden="false" customHeight="false" outlineLevel="0" collapsed="false">
      <c r="A13" s="5" t="s">
        <v>173</v>
      </c>
      <c r="B13" s="5" t="s">
        <v>174</v>
      </c>
      <c r="C13" s="5" t="n">
        <v>4</v>
      </c>
      <c r="D13" s="5" t="n">
        <v>1</v>
      </c>
      <c r="E13" s="5" t="n">
        <v>30</v>
      </c>
      <c r="F13" s="5" t="n">
        <v>13</v>
      </c>
      <c r="G13" s="5" t="n">
        <f aca="false">E13-F13</f>
        <v>17</v>
      </c>
      <c r="H13" s="5" t="s">
        <v>399</v>
      </c>
    </row>
    <row r="14" customFormat="false" ht="15" hidden="false" customHeight="false" outlineLevel="0" collapsed="false">
      <c r="A14" s="5" t="s">
        <v>288</v>
      </c>
      <c r="B14" s="5" t="s">
        <v>289</v>
      </c>
      <c r="C14" s="5" t="n">
        <v>4</v>
      </c>
      <c r="D14" s="5" t="n">
        <v>2</v>
      </c>
      <c r="E14" s="5" t="n">
        <v>60</v>
      </c>
      <c r="F14" s="5" t="n">
        <v>34</v>
      </c>
      <c r="G14" s="5" t="n">
        <f aca="false">E14-F14</f>
        <v>26</v>
      </c>
      <c r="H14" s="5" t="s">
        <v>398</v>
      </c>
    </row>
    <row r="15" customFormat="false" ht="15" hidden="false" customHeight="false" outlineLevel="0" collapsed="false">
      <c r="A15" s="5" t="s">
        <v>314</v>
      </c>
      <c r="B15" s="5" t="s">
        <v>315</v>
      </c>
      <c r="C15" s="5" t="n">
        <v>4</v>
      </c>
      <c r="D15" s="5" t="n">
        <v>6</v>
      </c>
      <c r="E15" s="5" t="n">
        <v>180</v>
      </c>
      <c r="F15" s="5" t="n">
        <v>55</v>
      </c>
      <c r="G15" s="5" t="n">
        <f aca="false">E15-F15</f>
        <v>125</v>
      </c>
      <c r="H15" s="5" t="s">
        <v>398</v>
      </c>
    </row>
    <row r="16" customFormat="false" ht="15" hidden="false" customHeight="false" outlineLevel="0" collapsed="false">
      <c r="A16" s="5" t="s">
        <v>350</v>
      </c>
      <c r="B16" s="5" t="s">
        <v>351</v>
      </c>
      <c r="C16" s="5" t="n">
        <v>4</v>
      </c>
      <c r="D16" s="5" t="n">
        <v>3</v>
      </c>
      <c r="E16" s="5" t="n">
        <v>90</v>
      </c>
      <c r="F16" s="5" t="n">
        <v>53</v>
      </c>
      <c r="G16" s="5" t="n">
        <f aca="false">E16-F16</f>
        <v>37</v>
      </c>
      <c r="H16" s="5" t="s">
        <v>398</v>
      </c>
    </row>
    <row r="17" customFormat="false" ht="15" hidden="false" customHeight="false" outlineLevel="0" collapsed="false">
      <c r="A17" s="5" t="s">
        <v>286</v>
      </c>
      <c r="B17" s="5" t="s">
        <v>287</v>
      </c>
      <c r="C17" s="5" t="n">
        <v>3</v>
      </c>
      <c r="D17" s="5" t="n">
        <v>1</v>
      </c>
      <c r="E17" s="5" t="n">
        <v>30</v>
      </c>
      <c r="F17" s="5" t="n">
        <v>22</v>
      </c>
      <c r="G17" s="5" t="n">
        <f aca="false">E17-F17</f>
        <v>8</v>
      </c>
      <c r="H17" s="5" t="s">
        <v>399</v>
      </c>
    </row>
    <row r="18" customFormat="false" ht="15" hidden="false" customHeight="false" outlineLevel="0" collapsed="false">
      <c r="A18" s="5" t="s">
        <v>264</v>
      </c>
      <c r="B18" s="5" t="s">
        <v>265</v>
      </c>
      <c r="C18" s="5" t="n">
        <v>3</v>
      </c>
      <c r="D18" s="5" t="n">
        <v>1</v>
      </c>
      <c r="E18" s="5" t="n">
        <v>30</v>
      </c>
      <c r="F18" s="5" t="n">
        <v>2</v>
      </c>
      <c r="G18" s="5" t="n">
        <f aca="false">E18-F18</f>
        <v>28</v>
      </c>
      <c r="H18" s="5" t="s">
        <v>399</v>
      </c>
    </row>
    <row r="19" customFormat="false" ht="15" hidden="false" customHeight="false" outlineLevel="0" collapsed="false">
      <c r="A19" s="5" t="s">
        <v>336</v>
      </c>
      <c r="B19" s="5" t="s">
        <v>337</v>
      </c>
      <c r="C19" s="5" t="n">
        <v>3</v>
      </c>
      <c r="D19" s="5" t="n">
        <v>3</v>
      </c>
      <c r="E19" s="5" t="n">
        <v>90</v>
      </c>
      <c r="F19" s="5" t="n">
        <v>58</v>
      </c>
      <c r="G19" s="5" t="n">
        <f aca="false">E19-F19</f>
        <v>32</v>
      </c>
      <c r="H19" s="5" t="s">
        <v>398</v>
      </c>
    </row>
    <row r="20" customFormat="false" ht="15" hidden="false" customHeight="false" outlineLevel="0" collapsed="false">
      <c r="A20" s="5" t="s">
        <v>390</v>
      </c>
      <c r="B20" s="5" t="s">
        <v>391</v>
      </c>
      <c r="C20" s="5" t="n">
        <v>3</v>
      </c>
      <c r="D20" s="5" t="n">
        <v>6</v>
      </c>
      <c r="E20" s="5" t="n">
        <v>72</v>
      </c>
      <c r="F20" s="5" t="n">
        <v>26</v>
      </c>
      <c r="G20" s="5" t="n">
        <f aca="false">E20-F20</f>
        <v>46</v>
      </c>
      <c r="H20" s="5" t="s">
        <v>398</v>
      </c>
    </row>
    <row r="21" customFormat="false" ht="15" hidden="false" customHeight="false" outlineLevel="0" collapsed="false">
      <c r="A21" s="5" t="s">
        <v>332</v>
      </c>
      <c r="B21" s="5" t="s">
        <v>333</v>
      </c>
      <c r="C21" s="5" t="n">
        <v>3</v>
      </c>
      <c r="D21" s="5" t="n">
        <v>1</v>
      </c>
      <c r="E21" s="5" t="n">
        <v>30</v>
      </c>
      <c r="F21" s="5" t="n">
        <v>5</v>
      </c>
      <c r="G21" s="5" t="n">
        <f aca="false">E21-F21</f>
        <v>25</v>
      </c>
      <c r="H21" s="5" t="s">
        <v>399</v>
      </c>
    </row>
    <row r="22" customFormat="false" ht="15" hidden="false" customHeight="false" outlineLevel="0" collapsed="false">
      <c r="A22" s="5" t="s">
        <v>134</v>
      </c>
      <c r="B22" s="5" t="s">
        <v>135</v>
      </c>
      <c r="C22" s="5" t="n">
        <v>3</v>
      </c>
      <c r="D22" s="5" t="n">
        <v>1</v>
      </c>
      <c r="E22" s="5" t="n">
        <v>30</v>
      </c>
      <c r="F22" s="5" t="n">
        <v>15</v>
      </c>
      <c r="G22" s="5" t="n">
        <f aca="false">E22-F22</f>
        <v>15</v>
      </c>
      <c r="H22" s="5" t="s">
        <v>399</v>
      </c>
    </row>
    <row r="23" customFormat="false" ht="15" hidden="false" customHeight="false" outlineLevel="0" collapsed="false">
      <c r="A23" s="5" t="s">
        <v>171</v>
      </c>
      <c r="B23" s="5" t="s">
        <v>172</v>
      </c>
      <c r="C23" s="5" t="n">
        <v>3</v>
      </c>
      <c r="D23" s="5" t="n">
        <v>2</v>
      </c>
      <c r="E23" s="5" t="n">
        <v>60</v>
      </c>
      <c r="F23" s="5" t="n">
        <v>23</v>
      </c>
      <c r="G23" s="5" t="n">
        <f aca="false">E23-F23</f>
        <v>37</v>
      </c>
      <c r="H23" s="5" t="s">
        <v>398</v>
      </c>
    </row>
    <row r="24" customFormat="false" ht="15" hidden="false" customHeight="false" outlineLevel="0" collapsed="false">
      <c r="A24" s="5" t="s">
        <v>292</v>
      </c>
      <c r="B24" s="5" t="s">
        <v>293</v>
      </c>
      <c r="C24" s="5" t="n">
        <v>2</v>
      </c>
      <c r="D24" s="5" t="n">
        <v>1</v>
      </c>
      <c r="E24" s="5" t="n">
        <v>30</v>
      </c>
      <c r="F24" s="5" t="n">
        <v>19</v>
      </c>
      <c r="G24" s="5" t="n">
        <f aca="false">E24-F24</f>
        <v>11</v>
      </c>
      <c r="H24" s="5" t="s">
        <v>399</v>
      </c>
    </row>
    <row r="25" customFormat="false" ht="15" hidden="false" customHeight="false" outlineLevel="0" collapsed="false">
      <c r="A25" s="5" t="s">
        <v>284</v>
      </c>
      <c r="B25" s="5" t="s">
        <v>285</v>
      </c>
      <c r="C25" s="5" t="n">
        <v>2</v>
      </c>
      <c r="D25" s="5" t="n">
        <v>2</v>
      </c>
      <c r="E25" s="5" t="n">
        <v>60</v>
      </c>
      <c r="F25" s="5" t="n">
        <v>34</v>
      </c>
      <c r="G25" s="5" t="n">
        <f aca="false">E25-F25</f>
        <v>26</v>
      </c>
      <c r="H25" s="5" t="s">
        <v>398</v>
      </c>
    </row>
    <row r="26" customFormat="false" ht="15" hidden="false" customHeight="false" outlineLevel="0" collapsed="false">
      <c r="A26" s="5" t="s">
        <v>159</v>
      </c>
      <c r="B26" s="5" t="s">
        <v>160</v>
      </c>
      <c r="C26" s="5" t="n">
        <v>2</v>
      </c>
      <c r="D26" s="5" t="n">
        <v>1</v>
      </c>
      <c r="E26" s="5" t="n">
        <v>30</v>
      </c>
      <c r="F26" s="5" t="n">
        <v>20</v>
      </c>
      <c r="G26" s="5" t="n">
        <f aca="false">E26-F26</f>
        <v>10</v>
      </c>
      <c r="H26" s="5" t="s">
        <v>399</v>
      </c>
    </row>
    <row r="27" customFormat="false" ht="15" hidden="false" customHeight="false" outlineLevel="0" collapsed="false">
      <c r="A27" s="5" t="s">
        <v>157</v>
      </c>
      <c r="B27" s="5" t="s">
        <v>158</v>
      </c>
      <c r="C27" s="5" t="n">
        <v>2</v>
      </c>
      <c r="D27" s="5" t="n">
        <v>2</v>
      </c>
      <c r="E27" s="5" t="n">
        <v>60</v>
      </c>
      <c r="F27" s="5" t="n">
        <v>30</v>
      </c>
      <c r="G27" s="5" t="n">
        <f aca="false">E27-F27</f>
        <v>30</v>
      </c>
      <c r="H27" s="5" t="s">
        <v>398</v>
      </c>
    </row>
    <row r="28" customFormat="false" ht="15" hidden="false" customHeight="false" outlineLevel="0" collapsed="false">
      <c r="A28" s="5" t="s">
        <v>217</v>
      </c>
      <c r="B28" s="5" t="s">
        <v>218</v>
      </c>
      <c r="C28" s="5" t="n">
        <v>2</v>
      </c>
      <c r="D28" s="5" t="n">
        <v>1</v>
      </c>
      <c r="E28" s="5" t="n">
        <v>30</v>
      </c>
      <c r="F28" s="5" t="n">
        <v>5</v>
      </c>
      <c r="G28" s="5" t="n">
        <f aca="false">E28-F28</f>
        <v>25</v>
      </c>
      <c r="H28" s="5" t="s">
        <v>399</v>
      </c>
    </row>
    <row r="29" customFormat="false" ht="15" hidden="false" customHeight="false" outlineLevel="0" collapsed="false">
      <c r="A29" s="5" t="s">
        <v>136</v>
      </c>
      <c r="B29" s="5" t="s">
        <v>137</v>
      </c>
      <c r="C29" s="5" t="n">
        <v>2</v>
      </c>
      <c r="D29" s="5" t="n">
        <v>3</v>
      </c>
      <c r="E29" s="5" t="n">
        <v>90</v>
      </c>
      <c r="F29" s="5" t="n">
        <v>43</v>
      </c>
      <c r="G29" s="5" t="n">
        <f aca="false">E29-F29</f>
        <v>47</v>
      </c>
      <c r="H29" s="5" t="s">
        <v>398</v>
      </c>
    </row>
    <row r="30" customFormat="false" ht="15" hidden="false" customHeight="false" outlineLevel="0" collapsed="false">
      <c r="A30" s="5" t="s">
        <v>356</v>
      </c>
      <c r="B30" s="5" t="s">
        <v>357</v>
      </c>
      <c r="C30" s="5" t="n">
        <v>2</v>
      </c>
      <c r="D30" s="5" t="n">
        <v>2</v>
      </c>
      <c r="E30" s="5" t="n">
        <v>60</v>
      </c>
      <c r="F30" s="5" t="n">
        <v>29</v>
      </c>
      <c r="G30" s="5" t="n">
        <f aca="false">E30-F30</f>
        <v>31</v>
      </c>
      <c r="H30" s="5" t="s">
        <v>398</v>
      </c>
    </row>
    <row r="31" customFormat="false" ht="15" hidden="false" customHeight="false" outlineLevel="0" collapsed="false">
      <c r="A31" s="5" t="s">
        <v>308</v>
      </c>
      <c r="B31" s="5" t="s">
        <v>309</v>
      </c>
      <c r="C31" s="5" t="n">
        <v>2</v>
      </c>
      <c r="D31" s="5" t="n">
        <v>2</v>
      </c>
      <c r="E31" s="5" t="n">
        <v>60</v>
      </c>
      <c r="F31" s="5" t="n">
        <v>11</v>
      </c>
      <c r="G31" s="5" t="n">
        <f aca="false">E31-F31</f>
        <v>49</v>
      </c>
      <c r="H31" s="5" t="s">
        <v>398</v>
      </c>
    </row>
    <row r="32" customFormat="false" ht="15" hidden="false" customHeight="false" outlineLevel="0" collapsed="false">
      <c r="A32" s="5" t="s">
        <v>282</v>
      </c>
      <c r="B32" s="5" t="s">
        <v>283</v>
      </c>
      <c r="C32" s="5" t="n">
        <v>2</v>
      </c>
      <c r="D32" s="5" t="n">
        <v>1</v>
      </c>
      <c r="E32" s="5" t="n">
        <v>30</v>
      </c>
      <c r="F32" s="5" t="n">
        <v>13</v>
      </c>
      <c r="G32" s="5" t="n">
        <f aca="false">E32-F32</f>
        <v>17</v>
      </c>
      <c r="H32" s="5" t="s">
        <v>399</v>
      </c>
    </row>
    <row r="33" customFormat="false" ht="15" hidden="false" customHeight="false" outlineLevel="0" collapsed="false">
      <c r="A33" s="5" t="s">
        <v>258</v>
      </c>
      <c r="B33" s="5" t="s">
        <v>259</v>
      </c>
      <c r="C33" s="5" t="n">
        <v>2</v>
      </c>
      <c r="D33" s="5" t="n">
        <v>2</v>
      </c>
      <c r="E33" s="5" t="n">
        <v>60</v>
      </c>
      <c r="F33" s="5" t="n">
        <v>23</v>
      </c>
      <c r="G33" s="5" t="n">
        <f aca="false">E33-F33</f>
        <v>37</v>
      </c>
      <c r="H33" s="5" t="s">
        <v>398</v>
      </c>
    </row>
    <row r="34" customFormat="false" ht="15" hidden="false" customHeight="false" outlineLevel="0" collapsed="false">
      <c r="A34" s="5" t="s">
        <v>177</v>
      </c>
      <c r="B34" s="5" t="s">
        <v>178</v>
      </c>
      <c r="C34" s="5" t="n">
        <v>1</v>
      </c>
      <c r="D34" s="5" t="n">
        <v>1</v>
      </c>
      <c r="E34" s="5" t="n">
        <v>30</v>
      </c>
      <c r="F34" s="5" t="n">
        <v>4</v>
      </c>
      <c r="G34" s="5" t="n">
        <f aca="false">E34-F34</f>
        <v>26</v>
      </c>
      <c r="H34" s="5" t="s">
        <v>399</v>
      </c>
    </row>
    <row r="35" customFormat="false" ht="15" hidden="false" customHeight="false" outlineLevel="0" collapsed="false">
      <c r="A35" s="5" t="s">
        <v>149</v>
      </c>
      <c r="B35" s="5" t="s">
        <v>150</v>
      </c>
      <c r="C35" s="5" t="n">
        <v>1</v>
      </c>
      <c r="D35" s="5" t="n">
        <v>2</v>
      </c>
      <c r="E35" s="5" t="n">
        <v>60</v>
      </c>
      <c r="F35" s="5" t="n">
        <v>12</v>
      </c>
      <c r="G35" s="5" t="n">
        <f aca="false">E35-F35</f>
        <v>48</v>
      </c>
      <c r="H35" s="5" t="s">
        <v>398</v>
      </c>
    </row>
    <row r="36" customFormat="false" ht="15" hidden="false" customHeight="false" outlineLevel="0" collapsed="false">
      <c r="A36" s="5" t="s">
        <v>219</v>
      </c>
      <c r="B36" s="5" t="s">
        <v>220</v>
      </c>
      <c r="C36" s="5" t="n">
        <v>1</v>
      </c>
      <c r="D36" s="5" t="n">
        <v>1</v>
      </c>
      <c r="E36" s="5" t="n">
        <v>30</v>
      </c>
      <c r="F36" s="5" t="n">
        <v>22</v>
      </c>
      <c r="G36" s="5" t="n">
        <f aca="false">E36-F36</f>
        <v>8</v>
      </c>
      <c r="H36" s="5" t="s">
        <v>399</v>
      </c>
    </row>
    <row r="37" customFormat="false" ht="15" hidden="false" customHeight="false" outlineLevel="0" collapsed="false">
      <c r="A37" s="5" t="s">
        <v>187</v>
      </c>
      <c r="B37" s="5" t="s">
        <v>188</v>
      </c>
      <c r="C37" s="5" t="n">
        <v>1</v>
      </c>
      <c r="D37" s="5" t="n">
        <v>5</v>
      </c>
      <c r="E37" s="5" t="n">
        <v>150</v>
      </c>
      <c r="F37" s="5" t="n">
        <v>121</v>
      </c>
      <c r="G37" s="5" t="n">
        <f aca="false">E37-F37</f>
        <v>29</v>
      </c>
      <c r="H37" s="5" t="s">
        <v>398</v>
      </c>
    </row>
    <row r="38" customFormat="false" ht="15" hidden="false" customHeight="false" outlineLevel="0" collapsed="false">
      <c r="A38" s="5" t="s">
        <v>132</v>
      </c>
      <c r="B38" s="5" t="s">
        <v>133</v>
      </c>
      <c r="C38" s="5" t="n">
        <v>1</v>
      </c>
      <c r="D38" s="5" t="n">
        <v>3</v>
      </c>
      <c r="E38" s="5" t="n">
        <v>90</v>
      </c>
      <c r="F38" s="5" t="n">
        <v>68</v>
      </c>
      <c r="G38" s="5" t="n">
        <f aca="false">E38-F38</f>
        <v>22</v>
      </c>
      <c r="H38" s="5" t="s">
        <v>398</v>
      </c>
    </row>
    <row r="39" customFormat="false" ht="15" hidden="false" customHeight="false" outlineLevel="0" collapsed="false">
      <c r="A39" s="5" t="s">
        <v>125</v>
      </c>
      <c r="B39" s="5" t="s">
        <v>126</v>
      </c>
      <c r="C39" s="5" t="n">
        <v>1</v>
      </c>
      <c r="D39" s="5" t="n">
        <v>3</v>
      </c>
      <c r="E39" s="5" t="n">
        <v>90</v>
      </c>
      <c r="F39" s="5" t="n">
        <v>63</v>
      </c>
      <c r="G39" s="5" t="n">
        <f aca="false">E39-F39</f>
        <v>27</v>
      </c>
      <c r="H39" s="5" t="s">
        <v>398</v>
      </c>
    </row>
    <row r="40" customFormat="false" ht="15" hidden="false" customHeight="false" outlineLevel="0" collapsed="false">
      <c r="A40" s="5" t="s">
        <v>111</v>
      </c>
      <c r="B40" s="5" t="s">
        <v>112</v>
      </c>
      <c r="C40" s="5" t="n">
        <v>1</v>
      </c>
      <c r="D40" s="5" t="n">
        <v>6</v>
      </c>
      <c r="E40" s="5" t="n">
        <v>180</v>
      </c>
      <c r="F40" s="5" t="n">
        <v>138</v>
      </c>
      <c r="G40" s="5" t="n">
        <f aca="false">E40-F40</f>
        <v>42</v>
      </c>
      <c r="H40" s="5" t="s">
        <v>398</v>
      </c>
    </row>
    <row r="41" customFormat="false" ht="15" hidden="false" customHeight="false" outlineLevel="0" collapsed="false">
      <c r="A41" s="5" t="s">
        <v>113</v>
      </c>
      <c r="B41" s="5" t="s">
        <v>114</v>
      </c>
      <c r="C41" s="5" t="n">
        <v>1</v>
      </c>
      <c r="D41" s="5" t="n">
        <v>3</v>
      </c>
      <c r="E41" s="5" t="n">
        <v>90</v>
      </c>
      <c r="F41" s="5" t="n">
        <v>66</v>
      </c>
      <c r="G41" s="5" t="n">
        <f aca="false">E41-F41</f>
        <v>24</v>
      </c>
      <c r="H41" s="5" t="s">
        <v>398</v>
      </c>
    </row>
    <row r="42" customFormat="false" ht="15" hidden="false" customHeight="false" outlineLevel="0" collapsed="false">
      <c r="A42" s="5" t="s">
        <v>138</v>
      </c>
      <c r="B42" s="5" t="s">
        <v>139</v>
      </c>
      <c r="C42" s="5" t="n">
        <v>1</v>
      </c>
      <c r="D42" s="5" t="n">
        <v>1</v>
      </c>
      <c r="E42" s="5" t="n">
        <v>30</v>
      </c>
      <c r="F42" s="5" t="n">
        <v>5</v>
      </c>
      <c r="G42" s="5" t="n">
        <f aca="false">E42-F42</f>
        <v>25</v>
      </c>
      <c r="H42" s="5" t="s">
        <v>399</v>
      </c>
    </row>
    <row r="43" customFormat="false" ht="15" hidden="false" customHeight="false" outlineLevel="0" collapsed="false">
      <c r="A43" s="5" t="s">
        <v>143</v>
      </c>
      <c r="B43" s="5" t="s">
        <v>144</v>
      </c>
      <c r="C43" s="5" t="n">
        <v>1</v>
      </c>
      <c r="D43" s="5" t="n">
        <v>2</v>
      </c>
      <c r="E43" s="5" t="n">
        <v>60</v>
      </c>
      <c r="F43" s="5" t="n">
        <v>2</v>
      </c>
      <c r="G43" s="5" t="n">
        <f aca="false">E43-F43</f>
        <v>58</v>
      </c>
      <c r="H43" s="5" t="s">
        <v>398</v>
      </c>
    </row>
    <row r="44" customFormat="false" ht="15" hidden="false" customHeight="false" outlineLevel="0" collapsed="false">
      <c r="A44" s="5" t="s">
        <v>151</v>
      </c>
      <c r="B44" s="5" t="s">
        <v>152</v>
      </c>
      <c r="C44" s="5" t="n">
        <v>1</v>
      </c>
      <c r="D44" s="5" t="n">
        <v>2</v>
      </c>
      <c r="E44" s="5" t="n">
        <v>60</v>
      </c>
      <c r="F44" s="5" t="n">
        <v>1</v>
      </c>
      <c r="G44" s="5" t="n">
        <f aca="false">E44-F44</f>
        <v>59</v>
      </c>
      <c r="H44" s="5" t="s">
        <v>398</v>
      </c>
    </row>
    <row r="45" customFormat="false" ht="15" hidden="false" customHeight="false" outlineLevel="0" collapsed="false">
      <c r="A45" s="5" t="s">
        <v>163</v>
      </c>
      <c r="B45" s="5" t="s">
        <v>164</v>
      </c>
      <c r="C45" s="5" t="n">
        <v>1</v>
      </c>
      <c r="D45" s="5" t="n">
        <v>2</v>
      </c>
      <c r="E45" s="5" t="n">
        <v>60</v>
      </c>
      <c r="F45" s="5" t="n">
        <v>4</v>
      </c>
      <c r="G45" s="5" t="n">
        <f aca="false">E45-F45</f>
        <v>56</v>
      </c>
      <c r="H45" s="5" t="s">
        <v>398</v>
      </c>
    </row>
    <row r="46" customFormat="false" ht="15" hidden="false" customHeight="false" outlineLevel="0" collapsed="false">
      <c r="A46" s="5" t="s">
        <v>254</v>
      </c>
      <c r="B46" s="5" t="s">
        <v>255</v>
      </c>
      <c r="C46" s="5" t="n">
        <v>1</v>
      </c>
      <c r="D46" s="5" t="n">
        <v>1</v>
      </c>
      <c r="E46" s="5" t="n">
        <v>30</v>
      </c>
      <c r="F46" s="5" t="n">
        <v>11</v>
      </c>
      <c r="G46" s="5" t="n">
        <f aca="false">E46-F46</f>
        <v>19</v>
      </c>
      <c r="H46" s="5" t="s">
        <v>399</v>
      </c>
    </row>
    <row r="47" customFormat="false" ht="15" hidden="false" customHeight="false" outlineLevel="0" collapsed="false">
      <c r="A47" s="5" t="s">
        <v>221</v>
      </c>
      <c r="B47" s="5" t="s">
        <v>222</v>
      </c>
      <c r="C47" s="5" t="n">
        <v>1</v>
      </c>
      <c r="D47" s="5" t="n">
        <v>6</v>
      </c>
      <c r="E47" s="5" t="n">
        <v>180</v>
      </c>
      <c r="F47" s="5" t="n">
        <v>104</v>
      </c>
      <c r="G47" s="5" t="n">
        <f aca="false">E47-F47</f>
        <v>76</v>
      </c>
      <c r="H47" s="5" t="s">
        <v>398</v>
      </c>
    </row>
    <row r="48" customFormat="false" ht="15" hidden="false" customHeight="false" outlineLevel="0" collapsed="false">
      <c r="A48" s="5" t="s">
        <v>300</v>
      </c>
      <c r="B48" s="5" t="s">
        <v>301</v>
      </c>
      <c r="C48" s="5" t="n">
        <v>1</v>
      </c>
      <c r="D48" s="5" t="n">
        <v>4</v>
      </c>
      <c r="E48" s="5" t="n">
        <v>120</v>
      </c>
      <c r="F48" s="5" t="n">
        <v>44</v>
      </c>
      <c r="G48" s="5" t="n">
        <f aca="false">E48-F48</f>
        <v>76</v>
      </c>
      <c r="H48" s="5" t="s">
        <v>398</v>
      </c>
    </row>
    <row r="49" customFormat="false" ht="15" hidden="false" customHeight="false" outlineLevel="0" collapsed="false">
      <c r="A49" s="5" t="s">
        <v>304</v>
      </c>
      <c r="B49" s="5" t="s">
        <v>305</v>
      </c>
      <c r="C49" s="5" t="n">
        <v>1</v>
      </c>
      <c r="D49" s="5" t="n">
        <v>2</v>
      </c>
      <c r="E49" s="5" t="n">
        <v>60</v>
      </c>
      <c r="F49" s="5" t="n">
        <v>19</v>
      </c>
      <c r="G49" s="5" t="n">
        <f aca="false">E49-F49</f>
        <v>41</v>
      </c>
      <c r="H49" s="5" t="s">
        <v>398</v>
      </c>
    </row>
    <row r="50" customFormat="false" ht="15" hidden="false" customHeight="false" outlineLevel="0" collapsed="false">
      <c r="A50" s="5" t="s">
        <v>262</v>
      </c>
      <c r="B50" s="5" t="s">
        <v>263</v>
      </c>
      <c r="C50" s="5" t="n">
        <v>1</v>
      </c>
      <c r="D50" s="5" t="n">
        <v>1</v>
      </c>
      <c r="E50" s="5" t="n">
        <v>30</v>
      </c>
      <c r="F50" s="5" t="n">
        <v>7</v>
      </c>
      <c r="G50" s="5" t="n">
        <f aca="false">E50-F50</f>
        <v>23</v>
      </c>
      <c r="H50" s="5" t="s">
        <v>399</v>
      </c>
    </row>
    <row r="51" customFormat="false" ht="15" hidden="false" customHeight="false" outlineLevel="0" collapsed="false">
      <c r="A51" s="5" t="s">
        <v>256</v>
      </c>
      <c r="B51" s="5" t="s">
        <v>257</v>
      </c>
      <c r="C51" s="5" t="n">
        <v>1</v>
      </c>
      <c r="D51" s="5" t="n">
        <v>2</v>
      </c>
      <c r="E51" s="5" t="n">
        <v>60</v>
      </c>
      <c r="F51" s="5" t="n">
        <v>16</v>
      </c>
      <c r="G51" s="5" t="n">
        <f aca="false">E51-F51</f>
        <v>44</v>
      </c>
      <c r="H51" s="5" t="s">
        <v>398</v>
      </c>
    </row>
    <row r="52" customFormat="false" ht="15" hidden="false" customHeight="false" outlineLevel="0" collapsed="false">
      <c r="A52" s="5" t="s">
        <v>270</v>
      </c>
      <c r="B52" s="5" t="s">
        <v>271</v>
      </c>
      <c r="C52" s="5" t="n">
        <v>1</v>
      </c>
      <c r="D52" s="5" t="n">
        <v>5</v>
      </c>
      <c r="E52" s="5" t="n">
        <v>150</v>
      </c>
      <c r="F52" s="5" t="n">
        <v>120</v>
      </c>
      <c r="G52" s="5" t="n">
        <f aca="false">E52-F52</f>
        <v>30</v>
      </c>
      <c r="H52" s="5" t="s">
        <v>398</v>
      </c>
    </row>
    <row r="53" customFormat="false" ht="15" hidden="false" customHeight="false" outlineLevel="0" collapsed="false">
      <c r="A53" s="5" t="s">
        <v>298</v>
      </c>
      <c r="B53" s="5" t="s">
        <v>299</v>
      </c>
      <c r="C53" s="5" t="n">
        <v>1</v>
      </c>
      <c r="D53" s="5" t="n">
        <v>2</v>
      </c>
      <c r="E53" s="5" t="n">
        <v>60</v>
      </c>
      <c r="F53" s="5" t="n">
        <v>16</v>
      </c>
      <c r="G53" s="5" t="n">
        <f aca="false">E53-F53</f>
        <v>44</v>
      </c>
      <c r="H53" s="5" t="s">
        <v>398</v>
      </c>
    </row>
    <row r="54" customFormat="false" ht="15" hidden="false" customHeight="false" outlineLevel="0" collapsed="false">
      <c r="A54" s="5" t="s">
        <v>310</v>
      </c>
      <c r="B54" s="5" t="s">
        <v>311</v>
      </c>
      <c r="C54" s="5" t="n">
        <v>1</v>
      </c>
      <c r="D54" s="5" t="n">
        <v>10</v>
      </c>
      <c r="E54" s="5" t="n">
        <v>300</v>
      </c>
      <c r="F54" s="5" t="n">
        <v>205</v>
      </c>
      <c r="G54" s="5" t="n">
        <f aca="false">E54-F54</f>
        <v>95</v>
      </c>
      <c r="H54" s="5" t="s">
        <v>398</v>
      </c>
    </row>
    <row r="55" customFormat="false" ht="15" hidden="false" customHeight="false" outlineLevel="0" collapsed="false">
      <c r="A55" s="5" t="s">
        <v>320</v>
      </c>
      <c r="B55" s="5" t="s">
        <v>321</v>
      </c>
      <c r="C55" s="5" t="n">
        <v>1</v>
      </c>
      <c r="D55" s="5" t="n">
        <v>6</v>
      </c>
      <c r="E55" s="5" t="n">
        <v>180</v>
      </c>
      <c r="F55" s="5" t="n">
        <v>151</v>
      </c>
      <c r="G55" s="5" t="n">
        <f aca="false">E55-F55</f>
        <v>29</v>
      </c>
      <c r="H55" s="5" t="s">
        <v>398</v>
      </c>
    </row>
    <row r="56" customFormat="false" ht="15" hidden="false" customHeight="false" outlineLevel="0" collapsed="false">
      <c r="A56" s="5" t="s">
        <v>364</v>
      </c>
      <c r="B56" s="5" t="s">
        <v>365</v>
      </c>
      <c r="C56" s="5" t="n">
        <v>1</v>
      </c>
      <c r="D56" s="5" t="n">
        <v>1</v>
      </c>
      <c r="E56" s="5" t="n">
        <v>30</v>
      </c>
      <c r="F56" s="5" t="n">
        <v>12</v>
      </c>
      <c r="G56" s="5" t="n">
        <f aca="false">E56-F56</f>
        <v>18</v>
      </c>
      <c r="H56" s="5" t="s">
        <v>399</v>
      </c>
    </row>
    <row r="57" customFormat="false" ht="15" hidden="false" customHeight="false" outlineLevel="0" collapsed="false">
      <c r="A57" s="5" t="s">
        <v>362</v>
      </c>
      <c r="B57" s="5" t="s">
        <v>363</v>
      </c>
      <c r="C57" s="5" t="n">
        <v>1</v>
      </c>
      <c r="D57" s="5" t="n">
        <v>2</v>
      </c>
      <c r="E57" s="5" t="n">
        <v>60</v>
      </c>
      <c r="F57" s="5" t="n">
        <v>29</v>
      </c>
      <c r="G57" s="5" t="n">
        <f aca="false">E57-F57</f>
        <v>31</v>
      </c>
      <c r="H57" s="5" t="s">
        <v>398</v>
      </c>
    </row>
    <row r="58" customFormat="false" ht="15" hidden="false" customHeight="false" outlineLevel="0" collapsed="false">
      <c r="A58" s="5" t="s">
        <v>366</v>
      </c>
      <c r="B58" s="5" t="s">
        <v>367</v>
      </c>
      <c r="C58" s="5" t="n">
        <v>1</v>
      </c>
      <c r="D58" s="5" t="n">
        <v>3</v>
      </c>
      <c r="E58" s="5" t="n">
        <v>90</v>
      </c>
      <c r="F58" s="5" t="n">
        <v>56</v>
      </c>
      <c r="G58" s="5" t="n">
        <f aca="false">E58-F58</f>
        <v>34</v>
      </c>
      <c r="H58" s="5" t="s">
        <v>398</v>
      </c>
    </row>
    <row r="59" customFormat="false" ht="15" hidden="false" customHeight="false" outlineLevel="0" collapsed="false">
      <c r="A59" s="5" t="s">
        <v>370</v>
      </c>
      <c r="B59" s="5" t="s">
        <v>371</v>
      </c>
      <c r="C59" s="5" t="n">
        <v>1</v>
      </c>
      <c r="D59" s="5" t="n">
        <v>1</v>
      </c>
      <c r="E59" s="5" t="n">
        <v>30</v>
      </c>
      <c r="F59" s="5" t="n">
        <v>19</v>
      </c>
      <c r="G59" s="5" t="n">
        <f aca="false">E59-F59</f>
        <v>11</v>
      </c>
      <c r="H59" s="5" t="s">
        <v>399</v>
      </c>
    </row>
    <row r="60" customFormat="false" ht="15" hidden="false" customHeight="false" outlineLevel="0" collapsed="false">
      <c r="A60" s="5" t="s">
        <v>374</v>
      </c>
      <c r="B60" s="5" t="s">
        <v>375</v>
      </c>
      <c r="C60" s="5" t="n">
        <v>1</v>
      </c>
      <c r="D60" s="5" t="n">
        <v>1</v>
      </c>
      <c r="E60" s="5" t="n">
        <v>30</v>
      </c>
      <c r="F60" s="5" t="n">
        <v>0</v>
      </c>
      <c r="G60" s="5" t="n">
        <f aca="false">E60-F60</f>
        <v>30</v>
      </c>
      <c r="H60" s="5" t="s">
        <v>399</v>
      </c>
    </row>
    <row r="61" customFormat="false" ht="15" hidden="false" customHeight="false" outlineLevel="0" collapsed="false">
      <c r="A61" s="5" t="s">
        <v>380</v>
      </c>
      <c r="B61" s="5" t="s">
        <v>381</v>
      </c>
      <c r="C61" s="5" t="n">
        <v>1</v>
      </c>
      <c r="D61" s="5" t="n">
        <v>9</v>
      </c>
      <c r="E61" s="5" t="n">
        <v>270</v>
      </c>
      <c r="F61" s="5" t="n">
        <v>215</v>
      </c>
      <c r="G61" s="5" t="n">
        <f aca="false">E61-F61</f>
        <v>55</v>
      </c>
      <c r="H61" s="5" t="s">
        <v>398</v>
      </c>
    </row>
    <row r="62" customFormat="false" ht="15" hidden="false" customHeight="false" outlineLevel="0" collapsed="false">
      <c r="A62" s="13"/>
      <c r="B62" s="13" t="s">
        <v>92</v>
      </c>
      <c r="C62" s="13" t="n">
        <f aca="false">SUM(C5:C61)</f>
        <v>128</v>
      </c>
      <c r="D62" s="13" t="n">
        <f aca="false">SUM(D5:D61)</f>
        <v>140</v>
      </c>
      <c r="E62" s="13" t="n">
        <f aca="false">SUM(E5:E61)</f>
        <v>4092</v>
      </c>
      <c r="F62" s="13" t="n">
        <f aca="false">SUM(F5:F61)</f>
        <v>2170</v>
      </c>
      <c r="G62" s="13" t="n">
        <f aca="false">SUM(G5:G61)</f>
        <v>1922</v>
      </c>
      <c r="H62" s="1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8" min="4" style="0" width="14"/>
  </cols>
  <sheetData>
    <row r="1" customFormat="false" ht="24" hidden="false" customHeight="true" outlineLevel="0" collapsed="false">
      <c r="A1" s="1" t="s">
        <v>400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401</v>
      </c>
    </row>
    <row r="4" customFormat="false" ht="30" hidden="false" customHeight="true" outlineLevel="0" collapsed="false">
      <c r="A4" s="4" t="s">
        <v>402</v>
      </c>
      <c r="B4" s="4" t="s">
        <v>86</v>
      </c>
      <c r="C4" s="4" t="s">
        <v>403</v>
      </c>
    </row>
    <row r="5" customFormat="false" ht="15" hidden="false" customHeight="false" outlineLevel="0" collapsed="false">
      <c r="A5" s="5" t="s">
        <v>404</v>
      </c>
      <c r="B5" s="5" t="n">
        <v>6</v>
      </c>
      <c r="C5" s="5" t="s">
        <v>405</v>
      </c>
    </row>
    <row r="6" customFormat="false" ht="15" hidden="false" customHeight="false" outlineLevel="0" collapsed="false">
      <c r="A6" s="5" t="s">
        <v>406</v>
      </c>
      <c r="B6" s="5" t="n">
        <v>1</v>
      </c>
      <c r="C6" s="5" t="s">
        <v>407</v>
      </c>
    </row>
    <row r="7" customFormat="false" ht="15" hidden="false" customHeight="false" outlineLevel="0" collapsed="false">
      <c r="A7" s="5" t="s">
        <v>408</v>
      </c>
      <c r="B7" s="5" t="n">
        <v>0</v>
      </c>
      <c r="C7" s="5" t="s">
        <v>409</v>
      </c>
    </row>
    <row r="8" customFormat="false" ht="15" hidden="false" customHeight="false" outlineLevel="0" collapsed="false">
      <c r="A8" s="5" t="s">
        <v>410</v>
      </c>
      <c r="B8" s="5" t="n">
        <v>63</v>
      </c>
      <c r="C8" s="5" t="s">
        <v>411</v>
      </c>
    </row>
    <row r="9" customFormat="false" ht="15" hidden="false" customHeight="false" outlineLevel="0" collapsed="false">
      <c r="A9" s="5" t="s">
        <v>412</v>
      </c>
      <c r="B9" s="5" t="n">
        <v>50</v>
      </c>
      <c r="C9" s="5" t="s">
        <v>413</v>
      </c>
    </row>
    <row r="10" customFormat="false" ht="15" hidden="false" customHeight="false" outlineLevel="0" collapsed="false">
      <c r="A10" s="13" t="s">
        <v>414</v>
      </c>
      <c r="B10" s="13" t="n">
        <f aca="false">SUM(B5:B9)</f>
        <v>120</v>
      </c>
      <c r="C10" s="13"/>
    </row>
    <row r="12" customFormat="false" ht="15" hidden="false" customHeight="false" outlineLevel="0" collapsed="false">
      <c r="A12" s="9" t="s">
        <v>415</v>
      </c>
    </row>
    <row r="13" customFormat="false" ht="15" hidden="false" customHeight="false" outlineLevel="0" collapsed="false">
      <c r="A13" s="5" t="s">
        <v>416</v>
      </c>
    </row>
    <row r="14" customFormat="false" ht="15" hidden="false" customHeight="false" outlineLevel="0" collapsed="false">
      <c r="A14" s="5" t="s">
        <v>417</v>
      </c>
    </row>
    <row r="15" customFormat="false" ht="15" hidden="false" customHeight="false" outlineLevel="0" collapsed="false">
      <c r="A15" s="5" t="s">
        <v>418</v>
      </c>
    </row>
    <row r="16" customFormat="false" ht="15" hidden="false" customHeight="false" outlineLevel="0" collapsed="false">
      <c r="A16" s="5" t="s">
        <v>419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5" t="s">
        <v>420</v>
      </c>
    </row>
    <row r="19" customFormat="false" ht="15" hidden="false" customHeight="false" outlineLevel="0" collapsed="false">
      <c r="A19" s="5" t="s">
        <v>421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5" t="s">
        <v>422</v>
      </c>
    </row>
    <row r="22" customFormat="false" ht="15" hidden="false" customHeight="false" outlineLevel="0" collapsed="false">
      <c r="A22" s="5" t="s">
        <v>423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8" min="6" style="0" width="14"/>
  </cols>
  <sheetData>
    <row r="1" customFormat="false" ht="24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425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4" t="s">
        <v>426</v>
      </c>
      <c r="B4" s="4" t="s">
        <v>107</v>
      </c>
      <c r="C4" s="4" t="s">
        <v>109</v>
      </c>
      <c r="D4" s="4" t="s">
        <v>108</v>
      </c>
      <c r="E4" s="4" t="s">
        <v>427</v>
      </c>
    </row>
    <row r="5" customFormat="false" ht="15" hidden="false" customHeight="false" outlineLevel="0" collapsed="false">
      <c r="A5" s="5" t="s">
        <v>428</v>
      </c>
      <c r="B5" s="5" t="n">
        <v>46</v>
      </c>
      <c r="C5" s="5" t="n">
        <v>866</v>
      </c>
      <c r="D5" s="5" t="n">
        <v>1380</v>
      </c>
      <c r="E5" s="6" t="n">
        <f aca="false">IF(D5=0,"",C5/D5)</f>
        <v>0.627536231884058</v>
      </c>
    </row>
    <row r="6" customFormat="false" ht="15" hidden="false" customHeight="false" outlineLevel="0" collapsed="false">
      <c r="A6" s="5" t="s">
        <v>429</v>
      </c>
      <c r="B6" s="5" t="n">
        <v>46</v>
      </c>
      <c r="C6" s="5" t="n">
        <v>809</v>
      </c>
      <c r="D6" s="5" t="n">
        <v>1380</v>
      </c>
      <c r="E6" s="6" t="n">
        <f aca="false">IF(D6=0,"",C6/D6)</f>
        <v>0.586231884057971</v>
      </c>
    </row>
    <row r="7" customFormat="false" ht="15" hidden="false" customHeight="false" outlineLevel="0" collapsed="false">
      <c r="A7" s="5" t="s">
        <v>430</v>
      </c>
      <c r="B7" s="5" t="n">
        <v>45</v>
      </c>
      <c r="C7" s="5" t="n">
        <v>908</v>
      </c>
      <c r="D7" s="5" t="n">
        <v>1350</v>
      </c>
      <c r="E7" s="6" t="n">
        <f aca="false">IF(D7=0,"",C7/D7)</f>
        <v>0.672592592592593</v>
      </c>
    </row>
    <row r="8" customFormat="false" ht="15" hidden="false" customHeight="false" outlineLevel="0" collapsed="false">
      <c r="A8" s="5" t="s">
        <v>431</v>
      </c>
      <c r="B8" s="5" t="n">
        <v>43</v>
      </c>
      <c r="C8" s="5" t="n">
        <v>968</v>
      </c>
      <c r="D8" s="5" t="n">
        <v>1290</v>
      </c>
      <c r="E8" s="6" t="n">
        <f aca="false">IF(D8=0,"",C8/D8)</f>
        <v>0.750387596899225</v>
      </c>
    </row>
    <row r="9" customFormat="false" ht="15" hidden="false" customHeight="false" outlineLevel="0" collapsed="false">
      <c r="A9" s="5" t="s">
        <v>432</v>
      </c>
      <c r="B9" s="5" t="n">
        <v>38</v>
      </c>
      <c r="C9" s="5" t="n">
        <v>781</v>
      </c>
      <c r="D9" s="5" t="n">
        <v>1140</v>
      </c>
      <c r="E9" s="6" t="n">
        <f aca="false">IF(D9=0,"",C9/D9)</f>
        <v>0.685087719298246</v>
      </c>
    </row>
    <row r="10" customFormat="false" ht="15" hidden="false" customHeight="false" outlineLevel="0" collapsed="false">
      <c r="A10" s="5" t="s">
        <v>433</v>
      </c>
      <c r="B10" s="5" t="n">
        <v>32</v>
      </c>
      <c r="C10" s="5" t="n">
        <v>663</v>
      </c>
      <c r="D10" s="5" t="n">
        <v>960</v>
      </c>
      <c r="E10" s="6" t="n">
        <f aca="false">IF(D10=0,"",C10/D10)</f>
        <v>0.690625</v>
      </c>
    </row>
    <row r="11" customFormat="false" ht="15" hidden="false" customHeight="false" outlineLevel="0" collapsed="false">
      <c r="A11" s="5" t="s">
        <v>434</v>
      </c>
      <c r="B11" s="5" t="n">
        <v>30</v>
      </c>
      <c r="C11" s="5" t="n">
        <v>497</v>
      </c>
      <c r="D11" s="5" t="n">
        <v>900</v>
      </c>
      <c r="E11" s="6" t="n">
        <f aca="false">IF(D11=0,"",C11/D11)</f>
        <v>0.552222222222222</v>
      </c>
    </row>
    <row r="12" customFormat="false" ht="15" hidden="false" customHeight="false" outlineLevel="0" collapsed="false">
      <c r="A12" s="5" t="s">
        <v>435</v>
      </c>
      <c r="B12" s="5" t="n">
        <v>29</v>
      </c>
      <c r="C12" s="5" t="n">
        <v>583</v>
      </c>
      <c r="D12" s="5" t="n">
        <v>870</v>
      </c>
      <c r="E12" s="6" t="n">
        <f aca="false">IF(D12=0,"",C12/D12)</f>
        <v>0.670114942528736</v>
      </c>
    </row>
    <row r="13" customFormat="false" ht="15" hidden="false" customHeight="false" outlineLevel="0" collapsed="false">
      <c r="A13" s="5" t="s">
        <v>436</v>
      </c>
      <c r="B13" s="5" t="n">
        <v>14</v>
      </c>
      <c r="C13" s="5" t="n">
        <v>110</v>
      </c>
      <c r="D13" s="5" t="n">
        <v>420</v>
      </c>
      <c r="E13" s="6" t="n">
        <f aca="false">IF(D13=0,"",C13/D13)</f>
        <v>0.261904761904762</v>
      </c>
    </row>
    <row r="14" customFormat="false" ht="15" hidden="false" customHeight="false" outlineLevel="0" collapsed="false">
      <c r="A14" s="5" t="s">
        <v>437</v>
      </c>
      <c r="B14" s="5" t="n">
        <v>10</v>
      </c>
      <c r="C14" s="5" t="n">
        <v>50</v>
      </c>
      <c r="D14" s="5" t="n">
        <v>300</v>
      </c>
      <c r="E14" s="6" t="n">
        <f aca="false">IF(D14=0,"",C14/D14)</f>
        <v>0.166666666666667</v>
      </c>
    </row>
    <row r="15" customFormat="false" ht="15" hidden="false" customHeight="false" outlineLevel="0" collapsed="false">
      <c r="A15" s="5" t="s">
        <v>438</v>
      </c>
      <c r="B15" s="5" t="n">
        <v>9</v>
      </c>
      <c r="C15" s="5" t="n">
        <v>69</v>
      </c>
      <c r="D15" s="5" t="n">
        <v>270</v>
      </c>
      <c r="E15" s="6" t="n">
        <f aca="false">IF(D15=0,"",C15/D15)</f>
        <v>0.255555555555556</v>
      </c>
    </row>
    <row r="16" customFormat="false" ht="15" hidden="false" customHeight="false" outlineLevel="0" collapsed="false">
      <c r="A16" s="5" t="s">
        <v>439</v>
      </c>
      <c r="B16" s="5" t="n">
        <v>8</v>
      </c>
      <c r="C16" s="5" t="n">
        <v>59</v>
      </c>
      <c r="D16" s="5" t="n">
        <v>240</v>
      </c>
      <c r="E16" s="6" t="n">
        <f aca="false">IF(D16=0,"",C16/D16)</f>
        <v>0.245833333333333</v>
      </c>
    </row>
    <row r="17" customFormat="false" ht="15" hidden="false" customHeight="false" outlineLevel="0" collapsed="false">
      <c r="A17" s="5" t="s">
        <v>440</v>
      </c>
      <c r="B17" s="5" t="n">
        <v>8</v>
      </c>
      <c r="C17" s="5" t="n">
        <v>31</v>
      </c>
      <c r="D17" s="5" t="n">
        <v>240</v>
      </c>
      <c r="E17" s="6" t="n">
        <f aca="false">IF(D17=0,"",C17/D17)</f>
        <v>0.129166666666667</v>
      </c>
    </row>
    <row r="18" customFormat="false" ht="15" hidden="false" customHeight="false" outlineLevel="0" collapsed="false">
      <c r="A18" s="5" t="s">
        <v>441</v>
      </c>
      <c r="B18" s="5" t="n">
        <v>6</v>
      </c>
      <c r="C18" s="5" t="n">
        <v>26</v>
      </c>
      <c r="D18" s="5" t="n">
        <v>72</v>
      </c>
      <c r="E18" s="6" t="n">
        <f aca="false">IF(D18=0,"",C18/D18)</f>
        <v>0.361111111111111</v>
      </c>
    </row>
    <row r="19" customFormat="false" ht="15" hidden="false" customHeight="false" outlineLevel="0" collapsed="false">
      <c r="A19" s="5" t="s">
        <v>442</v>
      </c>
      <c r="B19" s="5" t="n">
        <v>3</v>
      </c>
      <c r="C19" s="5" t="n">
        <v>6</v>
      </c>
      <c r="D19" s="5" t="n">
        <v>90</v>
      </c>
      <c r="E19" s="6" t="n">
        <f aca="false">IF(D19=0,"",C19/D19)</f>
        <v>0.0666666666666667</v>
      </c>
    </row>
    <row r="20" customFormat="false" ht="15" hidden="false" customHeight="false" outlineLevel="0" collapsed="false">
      <c r="A20" s="13" t="s">
        <v>92</v>
      </c>
      <c r="B20" s="13" t="n">
        <f aca="false">SUM(B5:B19)</f>
        <v>367</v>
      </c>
      <c r="C20" s="13" t="n">
        <f aca="false">SUM(C5:C19)</f>
        <v>6426</v>
      </c>
      <c r="D20" s="13" t="n">
        <f aca="false">SUM(D5:D19)</f>
        <v>10902</v>
      </c>
      <c r="E20" s="14" t="n">
        <f aca="false">C20/D20</f>
        <v>0.589433131535498</v>
      </c>
    </row>
    <row r="22" customFormat="false" ht="15" hidden="false" customHeight="false" outlineLevel="0" collapsed="false">
      <c r="A22" s="9" t="s">
        <v>443</v>
      </c>
    </row>
    <row r="23" customFormat="false" ht="15" hidden="false" customHeight="false" outlineLevel="0" collapsed="false">
      <c r="A23" s="5" t="s">
        <v>444</v>
      </c>
    </row>
    <row r="24" customFormat="false" ht="15" hidden="false" customHeight="false" outlineLevel="0" collapsed="false">
      <c r="A24" s="5" t="s">
        <v>445</v>
      </c>
    </row>
    <row r="25" customFormat="false" ht="15" hidden="false" customHeight="false" outlineLevel="0" collapsed="false">
      <c r="A25" s="5" t="s">
        <v>446</v>
      </c>
    </row>
    <row r="26" customFormat="false" ht="15" hidden="false" customHeight="false" outlineLevel="0" collapsed="false">
      <c r="A26" s="5" t="s">
        <v>447</v>
      </c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 t="s">
        <v>448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8" min="4" style="0" width="14"/>
  </cols>
  <sheetData>
    <row r="1" customFormat="false" ht="24" hidden="false" customHeight="true" outlineLevel="0" collapsed="false">
      <c r="A1" s="1" t="s">
        <v>449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450</v>
      </c>
    </row>
    <row r="4" customFormat="false" ht="30" hidden="false" customHeight="true" outlineLevel="0" collapsed="false">
      <c r="A4" s="4" t="s">
        <v>451</v>
      </c>
      <c r="B4" s="4" t="s">
        <v>452</v>
      </c>
      <c r="C4" s="4" t="s">
        <v>453</v>
      </c>
    </row>
    <row r="5" customFormat="false" ht="15" hidden="false" customHeight="false" outlineLevel="0" collapsed="false">
      <c r="A5" s="5" t="s">
        <v>454</v>
      </c>
      <c r="B5" s="5" t="n">
        <v>0</v>
      </c>
      <c r="C5" s="8" t="s">
        <v>455</v>
      </c>
    </row>
    <row r="6" customFormat="false" ht="15" hidden="false" customHeight="false" outlineLevel="0" collapsed="false">
      <c r="A6" s="5" t="s">
        <v>456</v>
      </c>
      <c r="B6" s="5" t="n">
        <v>0</v>
      </c>
      <c r="C6" s="8" t="s">
        <v>455</v>
      </c>
    </row>
    <row r="7" customFormat="false" ht="15" hidden="false" customHeight="false" outlineLevel="0" collapsed="false">
      <c r="A7" s="5" t="s">
        <v>457</v>
      </c>
      <c r="B7" s="5" t="n">
        <v>0</v>
      </c>
      <c r="C7" s="8" t="s">
        <v>455</v>
      </c>
    </row>
    <row r="8" customFormat="false" ht="15" hidden="false" customHeight="false" outlineLevel="0" collapsed="false">
      <c r="A8" s="5" t="s">
        <v>458</v>
      </c>
      <c r="B8" s="5" t="n">
        <v>0</v>
      </c>
      <c r="C8" s="8" t="s">
        <v>455</v>
      </c>
    </row>
    <row r="9" customFormat="false" ht="15" hidden="false" customHeight="false" outlineLevel="0" collapsed="false">
      <c r="A9" s="5" t="s">
        <v>459</v>
      </c>
      <c r="B9" s="5" t="n">
        <v>0</v>
      </c>
      <c r="C9" s="8" t="s">
        <v>460</v>
      </c>
    </row>
    <row r="10" customFormat="false" ht="15" hidden="false" customHeight="false" outlineLevel="0" collapsed="false">
      <c r="A10" s="5" t="s">
        <v>461</v>
      </c>
      <c r="B10" s="5" t="n">
        <v>0</v>
      </c>
      <c r="C10" s="8" t="s">
        <v>462</v>
      </c>
    </row>
    <row r="11" customFormat="false" ht="15" hidden="false" customHeight="false" outlineLevel="0" collapsed="false">
      <c r="A11" s="5" t="s">
        <v>463</v>
      </c>
      <c r="B11" s="5" t="n">
        <v>0</v>
      </c>
      <c r="C11" s="8" t="s">
        <v>455</v>
      </c>
    </row>
    <row r="12" customFormat="false" ht="15" hidden="false" customHeight="false" outlineLevel="0" collapsed="false">
      <c r="A12" s="5" t="s">
        <v>464</v>
      </c>
      <c r="B12" s="5" t="n">
        <v>0</v>
      </c>
      <c r="C12" s="8" t="s">
        <v>465</v>
      </c>
    </row>
    <row r="13" customFormat="false" ht="15" hidden="false" customHeight="false" outlineLevel="0" collapsed="false">
      <c r="A13" s="5" t="s">
        <v>466</v>
      </c>
      <c r="B13" s="5" t="n">
        <v>66</v>
      </c>
      <c r="C13" s="16" t="s">
        <v>467</v>
      </c>
    </row>
    <row r="14" customFormat="false" ht="15" hidden="false" customHeight="false" outlineLevel="0" collapsed="false">
      <c r="A14" s="5" t="s">
        <v>468</v>
      </c>
      <c r="B14" s="5" t="n">
        <v>4</v>
      </c>
      <c r="C14" s="16" t="s">
        <v>469</v>
      </c>
    </row>
    <row r="15" customFormat="false" ht="15" hidden="false" customHeight="false" outlineLevel="0" collapsed="false">
      <c r="A15" s="5" t="s">
        <v>470</v>
      </c>
      <c r="B15" s="5" t="n">
        <v>3</v>
      </c>
      <c r="C15" s="16" t="s">
        <v>469</v>
      </c>
    </row>
    <row r="16" customFormat="false" ht="15" hidden="false" customHeight="false" outlineLevel="0" collapsed="false">
      <c r="A16" s="5" t="s">
        <v>471</v>
      </c>
      <c r="B16" s="5" t="n">
        <v>4</v>
      </c>
      <c r="C16" s="16" t="s">
        <v>472</v>
      </c>
    </row>
    <row r="18" customFormat="false" ht="15" hidden="false" customHeight="false" outlineLevel="0" collapsed="false">
      <c r="A18" s="2" t="s">
        <v>473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8" min="2" style="0" width="14"/>
  </cols>
  <sheetData>
    <row r="1" customFormat="false" ht="24" hidden="false" customHeight="true" outlineLevel="0" collapsed="false">
      <c r="A1" s="1" t="s">
        <v>474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 t="s">
        <v>475</v>
      </c>
    </row>
    <row r="4" customFormat="false" ht="15" hidden="false" customHeight="false" outlineLevel="0" collapsed="false">
      <c r="A4" s="12" t="s">
        <v>476</v>
      </c>
    </row>
    <row r="5" customFormat="false" ht="15" hidden="false" customHeight="false" outlineLevel="0" collapsed="false">
      <c r="A5" s="12" t="s">
        <v>477</v>
      </c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8" t="s">
        <v>478</v>
      </c>
    </row>
    <row r="8" customFormat="false" ht="15" hidden="false" customHeight="false" outlineLevel="0" collapsed="false">
      <c r="A8" s="12" t="s">
        <v>479</v>
      </c>
    </row>
    <row r="9" customFormat="false" ht="15" hidden="false" customHeight="false" outlineLevel="0" collapsed="false">
      <c r="A9" s="12" t="s">
        <v>480</v>
      </c>
    </row>
    <row r="10" customFormat="false" ht="15" hidden="false" customHeight="false" outlineLevel="0" collapsed="false">
      <c r="A10" s="12" t="s">
        <v>481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8" t="s">
        <v>482</v>
      </c>
    </row>
    <row r="13" customFormat="false" ht="15" hidden="false" customHeight="false" outlineLevel="0" collapsed="false">
      <c r="A13" s="12" t="s">
        <v>483</v>
      </c>
    </row>
    <row r="14" customFormat="false" ht="15" hidden="false" customHeight="false" outlineLevel="0" collapsed="false">
      <c r="A14" s="12" t="s">
        <v>484</v>
      </c>
    </row>
    <row r="15" customFormat="false" ht="15" hidden="false" customHeight="false" outlineLevel="0" collapsed="false">
      <c r="A15" s="12" t="s">
        <v>485</v>
      </c>
    </row>
    <row r="16" customFormat="false" ht="15" hidden="false" customHeight="false" outlineLevel="0" collapsed="false">
      <c r="A16" s="12" t="s">
        <v>486</v>
      </c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8" t="s">
        <v>487</v>
      </c>
    </row>
    <row r="19" customFormat="false" ht="15" hidden="false" customHeight="false" outlineLevel="0" collapsed="false">
      <c r="A19" s="12" t="s">
        <v>488</v>
      </c>
    </row>
    <row r="20" customFormat="false" ht="15" hidden="false" customHeight="false" outlineLevel="0" collapsed="false">
      <c r="A20" s="12" t="s">
        <v>489</v>
      </c>
    </row>
    <row r="21" customFormat="false" ht="15" hidden="false" customHeight="false" outlineLevel="0" collapsed="false">
      <c r="A21" s="12" t="s">
        <v>490</v>
      </c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8" t="s">
        <v>491</v>
      </c>
    </row>
    <row r="24" customFormat="false" ht="15" hidden="false" customHeight="false" outlineLevel="0" collapsed="false">
      <c r="A24" s="12" t="s">
        <v>492</v>
      </c>
    </row>
    <row r="25" customFormat="false" ht="15" hidden="false" customHeight="false" outlineLevel="0" collapsed="false">
      <c r="A25" s="12" t="s">
        <v>493</v>
      </c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 t="s">
        <v>494</v>
      </c>
    </row>
    <row r="28" customFormat="false" ht="15" hidden="false" customHeight="false" outlineLevel="0" collapsed="false">
      <c r="A28" s="12" t="s">
        <v>495</v>
      </c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8" t="s">
        <v>496</v>
      </c>
    </row>
    <row r="31" customFormat="false" ht="15" hidden="false" customHeight="false" outlineLevel="0" collapsed="false">
      <c r="A31" s="12" t="s">
        <v>497</v>
      </c>
    </row>
    <row r="32" customFormat="false" ht="15" hidden="false" customHeight="false" outlineLevel="0" collapsed="false">
      <c r="A32" s="12" t="s">
        <v>498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2026-08-11T22:00:45Z</dcterms:created>
  <dc:creator>openpyxl</dc:creator>
  <dc:description/>
  <dc:language>en-US</dc:language>
  <cp:lastModifiedBy/>
  <dcterms:modified xsi:type="dcterms:W3CDTF">2026-08-11T22:00:45Z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